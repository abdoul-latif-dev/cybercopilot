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Équipe" sheetId="1" state="visible" r:id="rId1"/>
    <sheet xmlns:r="http://schemas.openxmlformats.org/officeDocument/2006/relationships" name="2. Planning" sheetId="2" state="visible" r:id="rId2"/>
    <sheet xmlns:r="http://schemas.openxmlformats.org/officeDocument/2006/relationships" name="3. Heures" sheetId="3" state="visible" r:id="rId3"/>
    <sheet xmlns:r="http://schemas.openxmlformats.org/officeDocument/2006/relationships" name="4. Réunions" sheetId="4" state="visible" r:id="rId4"/>
    <sheet xmlns:r="http://schemas.openxmlformats.org/officeDocument/2006/relationships" name="5. Ris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i val="1"/>
      <color rgb="0064748B"/>
    </font>
    <font>
      <b val="1"/>
      <color rgb="00FFFFFF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0EA5E9"/>
        <bgColor rgb="000EA5E9"/>
      </patternFill>
    </fill>
    <fill>
      <patternFill patternType="solid">
        <fgColor rgb="0016A34A"/>
        <bgColor rgb="0016A34A"/>
      </patternFill>
    </fill>
    <fill>
      <patternFill patternType="solid">
        <fgColor rgb="00EA580C"/>
        <bgColor rgb="00EA580C"/>
      </patternFill>
    </fill>
    <fill>
      <patternFill patternType="solid">
        <fgColor rgb="0094A3B8"/>
        <bgColor rgb="0094A3B8"/>
      </patternFill>
    </fill>
    <fill>
      <patternFill patternType="solid">
        <fgColor rgb="00F1F5F9"/>
        <bgColor rgb="00F1F5F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2" borderId="0" pivotButton="0" quotePrefix="0" xfId="0"/>
    <xf numFmtId="0" fontId="6" fillId="7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35" customWidth="1" min="4" max="4"/>
    <col width="28" customWidth="1" min="5" max="5"/>
    <col width="15" customWidth="1" min="6" max="6"/>
    <col width="16" customWidth="1" min="7" max="7"/>
  </cols>
  <sheetData>
    <row r="1" ht="30" customHeight="1">
      <c r="A1" s="1" t="inlineStr">
        <is>
          <t>CYBERCOPILOT — Suivi de projet B2</t>
        </is>
      </c>
    </row>
    <row r="2" ht="30" customHeight="1">
      <c r="A2" s="2" t="inlineStr">
        <is>
          <t>Onglet 1 : Équipe et rôles</t>
        </is>
      </c>
    </row>
    <row r="4">
      <c r="A4" s="3" t="inlineStr">
        <is>
          <t>N°</t>
        </is>
      </c>
      <c r="B4" s="3" t="inlineStr">
        <is>
          <t>Nom Prénom</t>
        </is>
      </c>
      <c r="C4" s="3" t="inlineStr">
        <is>
          <t>Rôle</t>
        </is>
      </c>
      <c r="D4" s="3" t="inlineStr">
        <is>
          <t>Compétences clés</t>
        </is>
      </c>
      <c r="E4" s="3" t="inlineStr">
        <is>
          <t>Email</t>
        </is>
      </c>
      <c r="F4" s="3" t="inlineStr">
        <is>
          <t>Heures totales</t>
        </is>
      </c>
      <c r="G4" s="3" t="inlineStr">
        <is>
          <t>% Contribution</t>
        </is>
      </c>
    </row>
    <row r="5">
      <c r="A5" s="4" t="n">
        <v>1</v>
      </c>
      <c r="B5" s="4" t="inlineStr">
        <is>
          <t>Abdoul-Latif SIDI IBRAHIM</t>
        </is>
      </c>
      <c r="C5" s="4" t="inlineStr">
        <is>
          <t>Lead Technique</t>
        </is>
      </c>
      <c r="D5" s="5" t="inlineStr">
        <is>
          <t>Python, LLM, Architecture, Git</t>
        </is>
      </c>
      <c r="E5" s="4" t="inlineStr">
        <is>
          <t>latif.sibrahim@ece.fr</t>
        </is>
      </c>
      <c r="F5" s="4">
        <f>SUM('3. Heures'!B6:B20)</f>
        <v/>
      </c>
      <c r="G5" s="6">
        <f>F5/SUM($F$5:$F$8)</f>
        <v/>
      </c>
    </row>
    <row r="6">
      <c r="A6" s="4" t="n">
        <v>2</v>
      </c>
      <c r="B6" s="4" t="inlineStr">
        <is>
          <t>[Personne 1]</t>
        </is>
      </c>
      <c r="C6" s="4" t="inlineStr">
        <is>
          <t>Frontend &amp; Design</t>
        </is>
      </c>
      <c r="D6" s="5" t="inlineStr">
        <is>
          <t>Figma, UI/UX, Captures, Logo</t>
        </is>
      </c>
      <c r="E6" s="4" t="inlineStr">
        <is>
          <t>[email]</t>
        </is>
      </c>
      <c r="F6" s="4">
        <f>SUM('3. Heures'!C6:C20)</f>
        <v/>
      </c>
      <c r="G6" s="6">
        <f>F6/SUM($F$5:$F$8)</f>
        <v/>
      </c>
    </row>
    <row r="7">
      <c r="A7" s="4" t="n">
        <v>3</v>
      </c>
      <c r="B7" s="4" t="inlineStr">
        <is>
          <t>[Personne 2]</t>
        </is>
      </c>
      <c r="C7" s="4" t="inlineStr">
        <is>
          <t>Code &amp; Qualité</t>
        </is>
      </c>
      <c r="D7" s="5" t="inlineStr">
        <is>
          <t>Tests, GitHub, Documentation</t>
        </is>
      </c>
      <c r="E7" s="4" t="inlineStr">
        <is>
          <t>[email]</t>
        </is>
      </c>
      <c r="F7" s="4">
        <f>SUM('3. Heures'!D6:D20)</f>
        <v/>
      </c>
      <c r="G7" s="6">
        <f>F7/SUM($F$5:$F$8)</f>
        <v/>
      </c>
    </row>
    <row r="8">
      <c r="A8" s="4" t="n">
        <v>4</v>
      </c>
      <c r="B8" s="4" t="inlineStr">
        <is>
          <t>[Personne 3]</t>
        </is>
      </c>
      <c r="C8" s="4" t="inlineStr">
        <is>
          <t>Documentation &amp; Rapport</t>
        </is>
      </c>
      <c r="D8" s="5" t="inlineStr">
        <is>
          <t>Rapport final, Compilation</t>
        </is>
      </c>
      <c r="E8" s="4" t="inlineStr">
        <is>
          <t>[email]</t>
        </is>
      </c>
      <c r="F8" s="4">
        <f>SUM('3. Heures'!E6:E20)</f>
        <v/>
      </c>
      <c r="G8" s="6">
        <f>F8/SUM($F$5:$F$8)</f>
        <v/>
      </c>
    </row>
    <row r="11">
      <c r="A11" s="7" t="inlineStr">
        <is>
          <t>Note : les heures sont calculées automatiquement depuis l'onglet 3.</t>
        </is>
      </c>
    </row>
  </sheetData>
  <mergeCells count="3">
    <mergeCell ref="A11:G11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1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 ht="30" customHeight="1">
      <c r="A1" s="2" t="inlineStr">
        <is>
          <t>Planning du projet — Gantt simplifié</t>
        </is>
      </c>
    </row>
    <row r="3">
      <c r="A3" s="3" t="inlineStr">
        <is>
          <t>Phase</t>
        </is>
      </c>
      <c r="B3" s="3" t="inlineStr">
        <is>
          <t>Tâche</t>
        </is>
      </c>
      <c r="C3" s="3" t="inlineStr">
        <is>
          <t>Responsable</t>
        </is>
      </c>
      <c r="D3" s="3" t="inlineStr">
        <is>
          <t>Statut</t>
        </is>
      </c>
      <c r="E3" s="3" t="inlineStr">
        <is>
          <t>S1</t>
        </is>
      </c>
      <c r="F3" s="3" t="inlineStr">
        <is>
          <t>S2</t>
        </is>
      </c>
      <c r="G3" s="3" t="inlineStr">
        <is>
          <t>S3</t>
        </is>
      </c>
      <c r="H3" s="3" t="inlineStr">
        <is>
          <t>S4</t>
        </is>
      </c>
      <c r="I3" s="3" t="inlineStr">
        <is>
          <t>S5</t>
        </is>
      </c>
      <c r="J3" s="3" t="inlineStr">
        <is>
          <t>S6</t>
        </is>
      </c>
      <c r="K3" s="3" t="inlineStr">
        <is>
          <t>S7</t>
        </is>
      </c>
    </row>
    <row r="4">
      <c r="A4" s="8" t="inlineStr">
        <is>
          <t>Cadrage</t>
        </is>
      </c>
      <c r="B4" s="8" t="inlineStr">
        <is>
          <t>Cahier des charges</t>
        </is>
      </c>
      <c r="C4" s="8" t="inlineStr">
        <is>
          <t>Lead</t>
        </is>
      </c>
      <c r="D4" s="9" t="inlineStr">
        <is>
          <t>Fini</t>
        </is>
      </c>
      <c r="E4" s="10" t="n"/>
      <c r="F4" s="8" t="n"/>
      <c r="G4" s="8" t="n"/>
      <c r="H4" s="8" t="n"/>
      <c r="I4" s="8" t="n"/>
      <c r="J4" s="8" t="n"/>
      <c r="K4" s="8" t="n"/>
    </row>
    <row r="5">
      <c r="A5" s="8" t="inlineStr">
        <is>
          <t>Cadrage</t>
        </is>
      </c>
      <c r="B5" s="8" t="inlineStr">
        <is>
          <t>Raison d'être</t>
        </is>
      </c>
      <c r="C5" s="8" t="inlineStr">
        <is>
          <t>Lead</t>
        </is>
      </c>
      <c r="D5" s="9" t="inlineStr">
        <is>
          <t>Fini</t>
        </is>
      </c>
      <c r="E5" s="10" t="n"/>
      <c r="F5" s="8" t="n"/>
      <c r="G5" s="8" t="n"/>
      <c r="H5" s="8" t="n"/>
      <c r="I5" s="8" t="n"/>
      <c r="J5" s="8" t="n"/>
      <c r="K5" s="8" t="n"/>
    </row>
    <row r="6">
      <c r="A6" s="8" t="inlineStr">
        <is>
          <t>Conception</t>
        </is>
      </c>
      <c r="B6" s="8" t="inlineStr">
        <is>
          <t>Architecture technique</t>
        </is>
      </c>
      <c r="C6" s="8" t="inlineStr">
        <is>
          <t>Lead</t>
        </is>
      </c>
      <c r="D6" s="9" t="inlineStr">
        <is>
          <t>Fini</t>
        </is>
      </c>
      <c r="E6" s="10" t="n"/>
      <c r="F6" s="10" t="n"/>
      <c r="G6" s="8" t="n"/>
      <c r="H6" s="8" t="n"/>
      <c r="I6" s="8" t="n"/>
      <c r="J6" s="8" t="n"/>
      <c r="K6" s="8" t="n"/>
    </row>
    <row r="7">
      <c r="A7" s="8" t="inlineStr">
        <is>
          <t>Conception</t>
        </is>
      </c>
      <c r="B7" s="8" t="inlineStr">
        <is>
          <t>État de l'art &amp; marché</t>
        </is>
      </c>
      <c r="C7" s="8" t="inlineStr">
        <is>
          <t>Personne 2</t>
        </is>
      </c>
      <c r="D7" s="9" t="inlineStr">
        <is>
          <t>Fini</t>
        </is>
      </c>
      <c r="E7" s="10" t="n"/>
      <c r="F7" s="10" t="n"/>
      <c r="G7" s="8" t="n"/>
      <c r="H7" s="8" t="n"/>
      <c r="I7" s="8" t="n"/>
      <c r="J7" s="8" t="n"/>
      <c r="K7" s="8" t="n"/>
    </row>
    <row r="8">
      <c r="A8" s="8" t="inlineStr">
        <is>
          <t>Développement</t>
        </is>
      </c>
      <c r="B8" s="8" t="inlineStr">
        <is>
          <t>Module parser (4 formats)</t>
        </is>
      </c>
      <c r="C8" s="8" t="inlineStr">
        <is>
          <t>Lead</t>
        </is>
      </c>
      <c r="D8" s="9" t="inlineStr">
        <is>
          <t>Fini</t>
        </is>
      </c>
      <c r="E8" s="8" t="n"/>
      <c r="F8" s="10" t="n"/>
      <c r="G8" s="10" t="n"/>
      <c r="H8" s="8" t="n"/>
      <c r="I8" s="8" t="n"/>
      <c r="J8" s="8" t="n"/>
      <c r="K8" s="8" t="n"/>
    </row>
    <row r="9">
      <c r="A9" s="8" t="inlineStr">
        <is>
          <t>Développement</t>
        </is>
      </c>
      <c r="B9" s="8" t="inlineStr">
        <is>
          <t>Module détecteur (6 attaques)</t>
        </is>
      </c>
      <c r="C9" s="8" t="inlineStr">
        <is>
          <t>Lead</t>
        </is>
      </c>
      <c r="D9" s="9" t="inlineStr">
        <is>
          <t>Fini</t>
        </is>
      </c>
      <c r="E9" s="8" t="n"/>
      <c r="F9" s="10" t="n"/>
      <c r="G9" s="10" t="n"/>
      <c r="H9" s="8" t="n"/>
      <c r="I9" s="8" t="n"/>
      <c r="J9" s="8" t="n"/>
      <c r="K9" s="8" t="n"/>
    </row>
    <row r="10">
      <c r="A10" s="8" t="inlineStr">
        <is>
          <t>Développement</t>
        </is>
      </c>
      <c r="B10" s="8" t="inlineStr">
        <is>
          <t>Intégration LLM + fallback</t>
        </is>
      </c>
      <c r="C10" s="8" t="inlineStr">
        <is>
          <t>Lead</t>
        </is>
      </c>
      <c r="D10" s="9" t="inlineStr">
        <is>
          <t>Fini</t>
        </is>
      </c>
      <c r="E10" s="8" t="n"/>
      <c r="F10" s="8" t="n"/>
      <c r="G10" s="10" t="n"/>
      <c r="H10" s="10" t="n"/>
      <c r="I10" s="8" t="n"/>
      <c r="J10" s="8" t="n"/>
      <c r="K10" s="8" t="n"/>
    </row>
    <row r="11">
      <c r="A11" s="8" t="inlineStr">
        <is>
          <t>Développement</t>
        </is>
      </c>
      <c r="B11" s="8" t="inlineStr">
        <is>
          <t>Anonymisation RGPD</t>
        </is>
      </c>
      <c r="C11" s="8" t="inlineStr">
        <is>
          <t>Lead</t>
        </is>
      </c>
      <c r="D11" s="9" t="inlineStr">
        <is>
          <t>Fini</t>
        </is>
      </c>
      <c r="E11" s="8" t="n"/>
      <c r="F11" s="8" t="n"/>
      <c r="G11" s="8" t="n"/>
      <c r="H11" s="10" t="n"/>
      <c r="I11" s="8" t="n"/>
      <c r="J11" s="8" t="n"/>
      <c r="K11" s="8" t="n"/>
    </row>
    <row r="12">
      <c r="A12" s="8" t="inlineStr">
        <is>
          <t>Développement</t>
        </is>
      </c>
      <c r="B12" s="8" t="inlineStr">
        <is>
          <t>Menu interactif (app.py)</t>
        </is>
      </c>
      <c r="C12" s="8" t="inlineStr">
        <is>
          <t>Lead</t>
        </is>
      </c>
      <c r="D12" s="9" t="inlineStr">
        <is>
          <t>Fini</t>
        </is>
      </c>
      <c r="E12" s="8" t="n"/>
      <c r="F12" s="8" t="n"/>
      <c r="G12" s="8" t="n"/>
      <c r="H12" s="10" t="n"/>
      <c r="I12" s="10" t="n"/>
      <c r="J12" s="8" t="n"/>
      <c r="K12" s="8" t="n"/>
    </row>
    <row r="13">
      <c r="A13" s="8" t="inlineStr">
        <is>
          <t>Qualité</t>
        </is>
      </c>
      <c r="B13" s="8" t="inlineStr">
        <is>
          <t>92 tests pytest</t>
        </is>
      </c>
      <c r="C13" s="8" t="inlineStr">
        <is>
          <t>Lead</t>
        </is>
      </c>
      <c r="D13" s="9" t="inlineStr">
        <is>
          <t>Fini</t>
        </is>
      </c>
      <c r="E13" s="8" t="n"/>
      <c r="F13" s="8" t="n"/>
      <c r="G13" s="8" t="n"/>
      <c r="H13" s="8" t="n"/>
      <c r="I13" s="10" t="n"/>
      <c r="J13" s="8" t="n"/>
      <c r="K13" s="8" t="n"/>
    </row>
    <row r="14">
      <c r="A14" s="8" t="inlineStr">
        <is>
          <t>Qualité</t>
        </is>
      </c>
      <c r="B14" s="8" t="inlineStr">
        <is>
          <t>Push GitHub + CI</t>
        </is>
      </c>
      <c r="C14" s="8" t="inlineStr">
        <is>
          <t>Lead</t>
        </is>
      </c>
      <c r="D14" s="9" t="inlineStr">
        <is>
          <t>Fini</t>
        </is>
      </c>
      <c r="E14" s="8" t="n"/>
      <c r="F14" s="8" t="n"/>
      <c r="G14" s="8" t="n"/>
      <c r="H14" s="8" t="n"/>
      <c r="I14" s="10" t="n"/>
      <c r="J14" s="10" t="n"/>
      <c r="K14" s="8" t="n"/>
    </row>
    <row r="15">
      <c r="A15" s="8" t="inlineStr">
        <is>
          <t>Design</t>
        </is>
      </c>
      <c r="B15" s="8" t="inlineStr">
        <is>
          <t>Maquette Figma</t>
        </is>
      </c>
      <c r="C15" s="8" t="inlineStr">
        <is>
          <t>Personne 1</t>
        </is>
      </c>
      <c r="D15" s="11" t="inlineStr">
        <is>
          <t>En cours</t>
        </is>
      </c>
      <c r="E15" s="8" t="n"/>
      <c r="F15" s="8" t="n"/>
      <c r="G15" s="8" t="n"/>
      <c r="H15" s="8" t="n"/>
      <c r="I15" s="10" t="n"/>
      <c r="J15" s="10" t="n"/>
      <c r="K15" s="10" t="n"/>
    </row>
    <row r="16">
      <c r="A16" s="8" t="inlineStr">
        <is>
          <t>Design</t>
        </is>
      </c>
      <c r="B16" s="8" t="inlineStr">
        <is>
          <t>Captures d'écran + logo</t>
        </is>
      </c>
      <c r="C16" s="8" t="inlineStr">
        <is>
          <t>Personne 1</t>
        </is>
      </c>
      <c r="D16" s="11" t="inlineStr">
        <is>
          <t>En cours</t>
        </is>
      </c>
      <c r="E16" s="8" t="n"/>
      <c r="F16" s="8" t="n"/>
      <c r="G16" s="8" t="n"/>
      <c r="H16" s="8" t="n"/>
      <c r="I16" s="8" t="n"/>
      <c r="J16" s="10" t="n"/>
      <c r="K16" s="10" t="n"/>
    </row>
    <row r="17">
      <c r="A17" s="8" t="inlineStr">
        <is>
          <t>Rapport</t>
        </is>
      </c>
      <c r="B17" s="8" t="inlineStr">
        <is>
          <t>Compilation rapport final</t>
        </is>
      </c>
      <c r="C17" s="8" t="inlineStr">
        <is>
          <t>Personne 3</t>
        </is>
      </c>
      <c r="D17" s="12" t="inlineStr">
        <is>
          <t>À venir</t>
        </is>
      </c>
      <c r="E17" s="8" t="n"/>
      <c r="F17" s="8" t="n"/>
      <c r="G17" s="8" t="n"/>
      <c r="H17" s="8" t="n"/>
      <c r="I17" s="8" t="n"/>
      <c r="J17" s="10" t="n"/>
      <c r="K17" s="10" t="n"/>
    </row>
    <row r="18">
      <c r="A18" s="8" t="inlineStr">
        <is>
          <t>Soutenance</t>
        </is>
      </c>
      <c r="B18" s="8" t="inlineStr">
        <is>
          <t>Slides + vidéo démo</t>
        </is>
      </c>
      <c r="C18" s="8" t="inlineStr">
        <is>
          <t>Personne 4</t>
        </is>
      </c>
      <c r="D18" s="12" t="inlineStr">
        <is>
          <t>À venir</t>
        </is>
      </c>
      <c r="E18" s="8" t="n"/>
      <c r="F18" s="8" t="n"/>
      <c r="G18" s="8" t="n"/>
      <c r="H18" s="8" t="n"/>
      <c r="I18" s="8" t="n"/>
      <c r="J18" s="8" t="n"/>
      <c r="K18" s="10" t="n"/>
    </row>
    <row r="21">
      <c r="A21" s="13" t="inlineStr">
        <is>
          <t>Légende :</t>
        </is>
      </c>
      <c r="B21" s="14" t="inlineStr">
        <is>
          <t>Travail prévu</t>
        </is>
      </c>
      <c r="C21" s="15" t="inlineStr">
        <is>
          <t>Fini</t>
        </is>
      </c>
      <c r="D21" s="16" t="inlineStr">
        <is>
          <t>En cours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" t="inlineStr">
        <is>
          <t>Heures travaillées par membre</t>
        </is>
      </c>
    </row>
    <row r="3">
      <c r="A3" s="3" t="inlineStr">
        <is>
          <t>Date</t>
        </is>
      </c>
      <c r="B3" s="3" t="inlineStr">
        <is>
          <t>Lead Technique</t>
        </is>
      </c>
      <c r="C3" s="3" t="inlineStr">
        <is>
          <t>Personne 1</t>
        </is>
      </c>
      <c r="D3" s="3" t="inlineStr">
        <is>
          <t>Personne 2</t>
        </is>
      </c>
      <c r="E3" s="3" t="inlineStr">
        <is>
          <t>Personne 3</t>
        </is>
      </c>
      <c r="F3" s="3" t="inlineStr">
        <is>
          <t>Total équipe</t>
        </is>
      </c>
    </row>
    <row r="4">
      <c r="A4" s="8" t="inlineStr">
        <is>
          <t>01/04/2026</t>
        </is>
      </c>
      <c r="B4" s="8" t="n">
        <v>3</v>
      </c>
      <c r="C4" s="8" t="n">
        <v>0</v>
      </c>
      <c r="D4" s="8" t="n">
        <v>0</v>
      </c>
      <c r="E4" s="8" t="n">
        <v>0</v>
      </c>
      <c r="F4" s="8">
        <f>SUM(B4:E4)</f>
        <v/>
      </c>
    </row>
    <row r="5">
      <c r="A5" s="8" t="inlineStr">
        <is>
          <t>02/04/2026</t>
        </is>
      </c>
      <c r="B5" s="8" t="n">
        <v>4</v>
      </c>
      <c r="C5" s="8" t="n">
        <v>0</v>
      </c>
      <c r="D5" s="8" t="n">
        <v>1</v>
      </c>
      <c r="E5" s="8" t="n">
        <v>0</v>
      </c>
      <c r="F5" s="8">
        <f>SUM(B5:E5)</f>
        <v/>
      </c>
    </row>
    <row r="6">
      <c r="A6" s="8" t="inlineStr">
        <is>
          <t>03/04/2026</t>
        </is>
      </c>
      <c r="B6" s="8" t="n">
        <v>5</v>
      </c>
      <c r="C6" s="8" t="n">
        <v>2</v>
      </c>
      <c r="D6" s="8" t="n">
        <v>1</v>
      </c>
      <c r="E6" s="8" t="n">
        <v>0</v>
      </c>
      <c r="F6" s="8">
        <f>SUM(B6:E6)</f>
        <v/>
      </c>
    </row>
    <row r="7">
      <c r="A7" s="8" t="inlineStr">
        <is>
          <t>04/04/2026</t>
        </is>
      </c>
      <c r="B7" s="8" t="n">
        <v>4</v>
      </c>
      <c r="C7" s="8" t="n">
        <v>1</v>
      </c>
      <c r="D7" s="8" t="n">
        <v>2</v>
      </c>
      <c r="E7" s="8" t="n">
        <v>1</v>
      </c>
      <c r="F7" s="8">
        <f>SUM(B7:E7)</f>
        <v/>
      </c>
    </row>
    <row r="8">
      <c r="A8" s="8" t="inlineStr">
        <is>
          <t>05/04/2026</t>
        </is>
      </c>
      <c r="B8" s="8" t="n">
        <v>6</v>
      </c>
      <c r="C8" s="8" t="n">
        <v>3</v>
      </c>
      <c r="D8" s="8" t="n">
        <v>2</v>
      </c>
      <c r="E8" s="8" t="n">
        <v>2</v>
      </c>
      <c r="F8" s="8">
        <f>SUM(B8:E8)</f>
        <v/>
      </c>
    </row>
    <row r="9">
      <c r="A9" s="8" t="inlineStr">
        <is>
          <t>06/04/2026</t>
        </is>
      </c>
      <c r="B9" s="8" t="n">
        <v>4</v>
      </c>
      <c r="C9" s="8" t="n">
        <v>2</v>
      </c>
      <c r="D9" s="8" t="n">
        <v>3</v>
      </c>
      <c r="E9" s="8" t="n">
        <v>2</v>
      </c>
      <c r="F9" s="8">
        <f>SUM(B9:E9)</f>
        <v/>
      </c>
    </row>
    <row r="10">
      <c r="A10" s="8" t="inlineStr">
        <is>
          <t>07/04/2026</t>
        </is>
      </c>
      <c r="B10" s="8" t="n">
        <v>5</v>
      </c>
      <c r="C10" s="8" t="n">
        <v>1</v>
      </c>
      <c r="D10" s="8" t="n">
        <v>2</v>
      </c>
      <c r="E10" s="8" t="n">
        <v>2</v>
      </c>
      <c r="F10" s="8">
        <f>SUM(B10:E10)</f>
        <v/>
      </c>
    </row>
    <row r="11">
      <c r="A11" s="8" t="inlineStr">
        <is>
          <t>08/04/2026</t>
        </is>
      </c>
      <c r="B11" s="8" t="n">
        <v>3</v>
      </c>
      <c r="C11" s="8" t="n">
        <v>0</v>
      </c>
      <c r="D11" s="8" t="n">
        <v>1</v>
      </c>
      <c r="E11" s="8" t="n">
        <v>1</v>
      </c>
      <c r="F11" s="8">
        <f>SUM(B11:E11)</f>
        <v/>
      </c>
    </row>
    <row r="12">
      <c r="A12" s="8" t="inlineStr">
        <is>
          <t>09/04/2026</t>
        </is>
      </c>
      <c r="B12" s="8" t="n">
        <v>6</v>
      </c>
      <c r="C12" s="8" t="n">
        <v>2</v>
      </c>
      <c r="D12" s="8" t="n">
        <v>3</v>
      </c>
      <c r="E12" s="8" t="n">
        <v>2</v>
      </c>
      <c r="F12" s="8">
        <f>SUM(B12:E12)</f>
        <v/>
      </c>
    </row>
    <row r="13">
      <c r="A13" s="8" t="inlineStr">
        <is>
          <t>10/04/2026</t>
        </is>
      </c>
      <c r="B13" s="8" t="n">
        <v>4</v>
      </c>
      <c r="C13" s="8" t="n">
        <v>1</v>
      </c>
      <c r="D13" s="8" t="n">
        <v>2</v>
      </c>
      <c r="E13" s="8" t="n">
        <v>3</v>
      </c>
      <c r="F13" s="8">
        <f>SUM(B13:E13)</f>
        <v/>
      </c>
    </row>
    <row r="14">
      <c r="A14" s="8" t="inlineStr">
        <is>
          <t>11/04/2026</t>
        </is>
      </c>
      <c r="B14" s="8" t="n">
        <v>3</v>
      </c>
      <c r="C14" s="8" t="n">
        <v>0</v>
      </c>
      <c r="D14" s="8" t="n">
        <v>2</v>
      </c>
      <c r="E14" s="8" t="n">
        <v>2</v>
      </c>
      <c r="F14" s="8">
        <f>SUM(B14:E14)</f>
        <v/>
      </c>
    </row>
    <row r="15">
      <c r="A15" s="8" t="inlineStr">
        <is>
          <t>12/04/2026</t>
        </is>
      </c>
      <c r="B15" s="8" t="n">
        <v>4</v>
      </c>
      <c r="C15" s="8" t="n">
        <v>3</v>
      </c>
      <c r="D15" s="8" t="n">
        <v>2</v>
      </c>
      <c r="E15" s="8" t="n">
        <v>3</v>
      </c>
      <c r="F15" s="8">
        <f>SUM(B15:E15)</f>
        <v/>
      </c>
    </row>
    <row r="16">
      <c r="A16" s="8" t="inlineStr">
        <is>
          <t>13/04/2026</t>
        </is>
      </c>
      <c r="B16" s="8" t="n">
        <v>5</v>
      </c>
      <c r="C16" s="8" t="n">
        <v>2</v>
      </c>
      <c r="D16" s="8" t="n">
        <v>1</v>
      </c>
      <c r="E16" s="8" t="n">
        <v>2</v>
      </c>
      <c r="F16" s="8">
        <f>SUM(B16:E16)</f>
        <v/>
      </c>
    </row>
    <row r="17">
      <c r="A17" s="8" t="inlineStr">
        <is>
          <t>14/04/2026</t>
        </is>
      </c>
      <c r="B17" s="8" t="n">
        <v>3</v>
      </c>
      <c r="C17" s="8" t="n">
        <v>1</v>
      </c>
      <c r="D17" s="8" t="n">
        <v>1</v>
      </c>
      <c r="E17" s="8" t="n">
        <v>1</v>
      </c>
      <c r="F17" s="8">
        <f>SUM(B17:E17)</f>
        <v/>
      </c>
    </row>
    <row r="18">
      <c r="A18" s="8" t="inlineStr">
        <is>
          <t>15/04/2026</t>
        </is>
      </c>
      <c r="B18" s="8" t="n">
        <v>2</v>
      </c>
      <c r="C18" s="8" t="n">
        <v>0</v>
      </c>
      <c r="D18" s="8" t="n">
        <v>1</v>
      </c>
      <c r="E18" s="8" t="n">
        <v>0</v>
      </c>
      <c r="F18" s="8">
        <f>SUM(B18:E18)</f>
        <v/>
      </c>
    </row>
    <row r="20">
      <c r="A20" s="17" t="inlineStr">
        <is>
          <t>TOTAL</t>
        </is>
      </c>
      <c r="B20" s="18">
        <f>SUM(B4:B18)</f>
        <v/>
      </c>
      <c r="C20" s="18">
        <f>SUM(C4:C18)</f>
        <v/>
      </c>
      <c r="D20" s="18">
        <f>SUM(D4:D18)</f>
        <v/>
      </c>
      <c r="E20" s="18">
        <f>SUM(E4:E18)</f>
        <v/>
      </c>
      <c r="F20" s="18">
        <f>SUM(F4:F18)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30" customWidth="1" min="4" max="4"/>
    <col width="30" customWidth="1" min="5" max="5"/>
  </cols>
  <sheetData>
    <row r="1" ht="30" customHeight="1">
      <c r="A1" s="2" t="inlineStr">
        <is>
          <t>Comptes-rendus de réunion</t>
        </is>
      </c>
    </row>
    <row r="3">
      <c r="A3" s="3" t="inlineStr">
        <is>
          <t>Date</t>
        </is>
      </c>
      <c r="B3" s="3" t="inlineStr">
        <is>
          <t>Participants</t>
        </is>
      </c>
      <c r="C3" s="3" t="inlineStr">
        <is>
          <t>Points discutés</t>
        </is>
      </c>
      <c r="D3" s="3" t="inlineStr">
        <is>
          <t>Décisions prises</t>
        </is>
      </c>
      <c r="E3" s="3" t="inlineStr">
        <is>
          <t>Actions à mener</t>
        </is>
      </c>
    </row>
    <row r="4" ht="50" customHeight="1">
      <c r="A4" s="5" t="inlineStr">
        <is>
          <t>05/04/2026</t>
        </is>
      </c>
      <c r="B4" s="5" t="inlineStr">
        <is>
          <t>Toute l'équipe</t>
        </is>
      </c>
      <c r="C4" s="5" t="inlineStr">
        <is>
          <t>Cadrage du projet, choix du sujet (Assistant SOC LLM)</t>
        </is>
      </c>
      <c r="D4" s="5" t="inlineStr">
        <is>
          <t>Validation du périmètre, attribution des rôles</t>
        </is>
      </c>
      <c r="E4" s="5" t="inlineStr">
        <is>
          <t>Chacun lit le cahier des charges</t>
        </is>
      </c>
    </row>
    <row r="5" ht="50" customHeight="1">
      <c r="A5" s="5" t="inlineStr">
        <is>
          <t>12/04/2026</t>
        </is>
      </c>
      <c r="B5" s="5" t="inlineStr">
        <is>
          <t>Toute l'équipe</t>
        </is>
      </c>
      <c r="C5" s="5" t="inlineStr">
        <is>
          <t>Revue de l'état de l'art, validation du business plan</t>
        </is>
      </c>
      <c r="D5" s="5" t="inlineStr">
        <is>
          <t>Cible PME/ETI françaises confirmée</t>
        </is>
      </c>
      <c r="E5" s="5" t="inlineStr">
        <is>
          <t>Démarrage du développement</t>
        </is>
      </c>
    </row>
    <row r="6" ht="50" customHeight="1">
      <c r="A6" s="5" t="inlineStr">
        <is>
          <t>19/04/2026</t>
        </is>
      </c>
      <c r="B6" s="5" t="inlineStr">
        <is>
          <t>Lead + Personne 2</t>
        </is>
      </c>
      <c r="C6" s="5" t="inlineStr">
        <is>
          <t>Architecture technique, choix Python + SQLite</t>
        </is>
      </c>
      <c r="D6" s="5" t="inlineStr">
        <is>
          <t>Pipeline 6 modules validé</t>
        </is>
      </c>
      <c r="E6" s="5" t="inlineStr">
        <is>
          <t>Implémentation du parser</t>
        </is>
      </c>
    </row>
    <row r="7" ht="50" customHeight="1">
      <c r="A7" s="5" t="inlineStr">
        <is>
          <t>28/04/2026</t>
        </is>
      </c>
      <c r="B7" s="5" t="inlineStr">
        <is>
          <t>Toute l'équipe</t>
        </is>
      </c>
      <c r="C7" s="5" t="inlineStr">
        <is>
          <t>Démo intermédiaire, retours sur le menu interactif</t>
        </is>
      </c>
      <c r="D7" s="5" t="inlineStr">
        <is>
          <t>Ajout du menu d'actions (statuts)</t>
        </is>
      </c>
      <c r="E7" s="5" t="inlineStr">
        <is>
          <t>Ajout 6e attaque (DDoS)</t>
        </is>
      </c>
    </row>
    <row r="8" ht="50" customHeight="1">
      <c r="A8" s="5" t="inlineStr">
        <is>
          <t>18/05/2026</t>
        </is>
      </c>
      <c r="B8" s="5" t="inlineStr">
        <is>
          <t>Toute l'équipe</t>
        </is>
      </c>
      <c r="C8" s="5" t="inlineStr">
        <is>
          <t>Bilan post-démo prof, identification améliorations</t>
        </is>
      </c>
      <c r="D8" s="5" t="inlineStr">
        <is>
          <t>Données réelles + suivi projet à intégrer</t>
        </is>
      </c>
      <c r="E8" s="5" t="inlineStr">
        <is>
          <t>Préparation pitch deck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2" customWidth="1" min="4" max="4"/>
    <col width="50" customWidth="1" min="5" max="5"/>
    <col width="14" customWidth="1" min="6" max="6"/>
  </cols>
  <sheetData>
    <row r="1" ht="30" customHeight="1">
      <c r="A1" s="2" t="inlineStr">
        <is>
          <t>Risques identifiés et mitigation</t>
        </is>
      </c>
    </row>
    <row r="3">
      <c r="A3" s="3" t="inlineStr">
        <is>
          <t>N°</t>
        </is>
      </c>
      <c r="B3" s="3" t="inlineStr">
        <is>
          <t>Risque</t>
        </is>
      </c>
      <c r="C3" s="3" t="inlineStr">
        <is>
          <t>Probabilité</t>
        </is>
      </c>
      <c r="D3" s="3" t="inlineStr">
        <is>
          <t>Impact</t>
        </is>
      </c>
      <c r="E3" s="3" t="inlineStr">
        <is>
          <t>Mitigation</t>
        </is>
      </c>
      <c r="F3" s="3" t="inlineStr">
        <is>
          <t>Statut</t>
        </is>
      </c>
    </row>
    <row r="4">
      <c r="A4" s="4" t="n">
        <v>1</v>
      </c>
      <c r="B4" s="5" t="inlineStr">
        <is>
          <t>API LLM indisponible (panne OpenAI / Anthropic)</t>
        </is>
      </c>
      <c r="C4" s="4" t="inlineStr">
        <is>
          <t>Moyenne</t>
        </is>
      </c>
      <c r="D4" s="11" t="inlineStr">
        <is>
          <t>Élevé</t>
        </is>
      </c>
      <c r="E4" s="5" t="inlineStr">
        <is>
          <t>Bascule automatique en mode dégradé (règles statiques)</t>
        </is>
      </c>
      <c r="F4" s="9" t="inlineStr">
        <is>
          <t>Résolu</t>
        </is>
      </c>
    </row>
    <row r="5">
      <c r="A5" s="4" t="n">
        <v>2</v>
      </c>
      <c r="B5" s="5" t="inlineStr">
        <is>
          <t>Coût API trop élevé en démo</t>
        </is>
      </c>
      <c r="C5" s="4" t="inlineStr">
        <is>
          <t>Faible</t>
        </is>
      </c>
      <c r="D5" s="19" t="inlineStr">
        <is>
          <t>Moyen</t>
        </is>
      </c>
      <c r="E5" s="5" t="inlineStr">
        <is>
          <t>Compression intelligente (-94% tokens) + cache 1h</t>
        </is>
      </c>
      <c r="F5" s="9" t="inlineStr">
        <is>
          <t>Résolu</t>
        </is>
      </c>
    </row>
    <row r="6">
      <c r="A6" s="4" t="n">
        <v>3</v>
      </c>
      <c r="B6" s="5" t="inlineStr">
        <is>
          <t>Hallucinations du LLM (réponses fausses)</t>
        </is>
      </c>
      <c r="C6" s="4" t="inlineStr">
        <is>
          <t>Moyenne</t>
        </is>
      </c>
      <c r="D6" s="11" t="inlineStr">
        <is>
          <t>Élevé</t>
        </is>
      </c>
      <c r="E6" s="5" t="inlineStr">
        <is>
          <t>Format JSON strict + validation humaine systématique</t>
        </is>
      </c>
      <c r="F6" s="9" t="inlineStr">
        <is>
          <t>Résolu</t>
        </is>
      </c>
    </row>
    <row r="7">
      <c r="A7" s="4" t="n">
        <v>4</v>
      </c>
      <c r="B7" s="5" t="inlineStr">
        <is>
          <t>Fuite de données sensibles vers l'API LLM</t>
        </is>
      </c>
      <c r="C7" s="4" t="inlineStr">
        <is>
          <t>Faible</t>
        </is>
      </c>
      <c r="D7" s="20" t="inlineStr">
        <is>
          <t>Critique</t>
        </is>
      </c>
      <c r="E7" s="5" t="inlineStr">
        <is>
          <t>Anonymisation RGPD activable (IP, utilisateurs)</t>
        </is>
      </c>
      <c r="F7" s="9" t="inlineStr">
        <is>
          <t>Résolu</t>
        </is>
      </c>
    </row>
    <row r="8">
      <c r="A8" s="4" t="n">
        <v>5</v>
      </c>
      <c r="B8" s="5" t="inlineStr">
        <is>
          <t>Clé API exposée dans Git</t>
        </is>
      </c>
      <c r="C8" s="4" t="inlineStr">
        <is>
          <t>Faible</t>
        </is>
      </c>
      <c r="D8" s="20" t="inlineStr">
        <is>
          <t>Critique</t>
        </is>
      </c>
      <c r="E8" s="5" t="inlineStr">
        <is>
          <t>.env exclu du Git via .gitignore</t>
        </is>
      </c>
      <c r="F8" s="9" t="inlineStr">
        <is>
          <t>Résolu</t>
        </is>
      </c>
    </row>
    <row r="9">
      <c r="A9" s="4" t="n">
        <v>6</v>
      </c>
      <c r="B9" s="5" t="inlineStr">
        <is>
          <t>Logs corrompus qui font planter le parser</t>
        </is>
      </c>
      <c r="C9" s="4" t="inlineStr">
        <is>
          <t>Élevée</t>
        </is>
      </c>
      <c r="D9" s="4" t="inlineStr">
        <is>
          <t>Faible</t>
        </is>
      </c>
      <c r="E9" s="5" t="inlineStr">
        <is>
          <t>Try/except sur chaque ligne, jamais d'interruption</t>
        </is>
      </c>
      <c r="F9" s="9" t="inlineStr">
        <is>
          <t>Résolu</t>
        </is>
      </c>
    </row>
    <row r="10">
      <c r="A10" s="4" t="n">
        <v>7</v>
      </c>
      <c r="B10" s="5" t="inlineStr">
        <is>
          <t>Retard de développement (sous-estimation)</t>
        </is>
      </c>
      <c r="C10" s="4" t="inlineStr">
        <is>
          <t>Moyenne</t>
        </is>
      </c>
      <c r="D10" s="11" t="inlineStr">
        <is>
          <t>Élevé</t>
        </is>
      </c>
      <c r="E10" s="5" t="inlineStr">
        <is>
          <t>Découpage en sprints, MVP prioritaire</t>
        </is>
      </c>
      <c r="F10" s="9" t="inlineStr">
        <is>
          <t>Résolu</t>
        </is>
      </c>
    </row>
    <row r="11">
      <c r="A11" s="4" t="n">
        <v>8</v>
      </c>
      <c r="B11" s="5" t="inlineStr">
        <is>
          <t>Manque de données réelles pour la démo</t>
        </is>
      </c>
      <c r="C11" s="4" t="inlineStr">
        <is>
          <t>Élevée</t>
        </is>
      </c>
      <c r="D11" s="19" t="inlineStr">
        <is>
          <t>Moyen</t>
        </is>
      </c>
      <c r="E11" s="5" t="inlineStr">
        <is>
          <t>Intégration des datasets Splunk Attack Data</t>
        </is>
      </c>
      <c r="F11" s="11" t="inlineStr">
        <is>
          <t>En cours</t>
        </is>
      </c>
    </row>
    <row r="12">
      <c r="A12" s="4" t="n">
        <v>9</v>
      </c>
      <c r="B12" s="5" t="inlineStr">
        <is>
          <t>Difficulté de coordination équipe à distance</t>
        </is>
      </c>
      <c r="C12" s="4" t="inlineStr">
        <is>
          <t>Moyenne</t>
        </is>
      </c>
      <c r="D12" s="19" t="inlineStr">
        <is>
          <t>Moyen</t>
        </is>
      </c>
      <c r="E12" s="5" t="inlineStr">
        <is>
          <t>Réunions hebdomadaires + Discord + GitHub Issues</t>
        </is>
      </c>
      <c r="F12" s="11" t="inlineStr">
        <is>
          <t>En cours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2026-06-04T01:22:10Z</dcterms:created>
  <dcterms:modified xmlns:dcterms="http://purl.org/dc/terms/" xmlns:xsi="http://www.w3.org/2001/XMLSchema-instance" xsi:type="dcterms:W3CDTF">2026-06-04T01:22:10Z</dcterms:modified>
</cp:coreProperties>
</file>