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Équipe" sheetId="1" state="visible" r:id="rId1"/>
    <sheet xmlns:r="http://schemas.openxmlformats.org/officeDocument/2006/relationships" name="2. Planning" sheetId="2" state="visible" r:id="rId2"/>
    <sheet xmlns:r="http://schemas.openxmlformats.org/officeDocument/2006/relationships" name="3. Heures" sheetId="3" state="visible" r:id="rId3"/>
    <sheet xmlns:r="http://schemas.openxmlformats.org/officeDocument/2006/relationships" name="4. Réunions" sheetId="4" state="visible" r:id="rId4"/>
    <sheet xmlns:r="http://schemas.openxmlformats.org/officeDocument/2006/relationships" name="5. Risques" sheetId="5" state="visible" r:id="rId5"/>
    <sheet xmlns:r="http://schemas.openxmlformats.org/officeDocument/2006/relationships" name="6. Fichi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i val="1"/>
      <color rgb="0064748B"/>
    </font>
    <font>
      <i val="1"/>
      <color rgb="0064748B"/>
    </font>
    <font>
      <b val="1"/>
      <color rgb="00FFFFFF"/>
    </font>
    <font>
      <b val="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0EA5E9"/>
        <bgColor rgb="000EA5E9"/>
      </patternFill>
    </fill>
    <fill>
      <patternFill patternType="solid">
        <fgColor rgb="0016A34A"/>
        <bgColor rgb="0016A34A"/>
      </patternFill>
    </fill>
    <fill>
      <patternFill patternType="solid">
        <fgColor rgb="008B5CF6"/>
        <bgColor rgb="008B5CF6"/>
      </patternFill>
    </fill>
    <fill>
      <patternFill patternType="solid">
        <fgColor rgb="00EA580C"/>
        <bgColor rgb="00EA580C"/>
      </patternFill>
    </fill>
    <fill>
      <patternFill patternType="solid">
        <fgColor rgb="0094A3B8"/>
        <bgColor rgb="0094A3B8"/>
      </patternFill>
    </fill>
    <fill>
      <patternFill patternType="solid">
        <fgColor rgb="00DC2626"/>
        <b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2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4" borderId="0" pivotButton="0" quotePrefix="0" xfId="0"/>
    <xf numFmtId="0" fontId="5" fillId="6" borderId="0" pivotButton="0" quotePrefix="0" xfId="0"/>
    <xf numFmtId="0" fontId="7" fillId="0" borderId="1" pivotButton="0" quotePrefix="0" xfId="0"/>
    <xf numFmtId="0" fontId="5" fillId="2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6" customWidth="1" min="3" max="3"/>
    <col width="28" customWidth="1" min="4" max="4"/>
    <col width="24" customWidth="1" min="5" max="5"/>
    <col width="48" customWidth="1" min="6" max="6"/>
    <col width="14" customWidth="1" min="7" max="7"/>
    <col width="14" customWidth="1" min="8" max="8"/>
  </cols>
  <sheetData>
    <row r="1" ht="30" customHeight="1">
      <c r="A1" s="1" t="inlineStr">
        <is>
          <t>CYBERCOPILOT — Suivi de projet B2</t>
        </is>
      </c>
    </row>
    <row r="2" ht="30" customHeight="1">
      <c r="A2" s="2" t="inlineStr">
        <is>
          <t>Onglet 1 : Équipe, rôles et fichiers attribués</t>
        </is>
      </c>
    </row>
    <row r="4">
      <c r="A4" s="3" t="inlineStr">
        <is>
          <t>N°</t>
        </is>
      </c>
      <c r="B4" s="3" t="inlineStr">
        <is>
          <t>Nom Prénom</t>
        </is>
      </c>
      <c r="C4" s="3" t="inlineStr">
        <is>
          <t>Rôle</t>
        </is>
      </c>
      <c r="D4" s="3" t="inlineStr">
        <is>
          <t>Compétences clés</t>
        </is>
      </c>
      <c r="E4" s="3" t="inlineStr">
        <is>
          <t>Email</t>
        </is>
      </c>
      <c r="F4" s="3" t="inlineStr">
        <is>
          <t>Fichiers attribués</t>
        </is>
      </c>
      <c r="G4" s="3" t="inlineStr">
        <is>
          <t>Heures totales</t>
        </is>
      </c>
      <c r="H4" s="3" t="inlineStr">
        <is>
          <t>% Contribution</t>
        </is>
      </c>
    </row>
    <row r="5" ht="50" customHeight="1">
      <c r="A5" s="4" t="n">
        <v>1</v>
      </c>
      <c r="B5" s="4" t="inlineStr">
        <is>
          <t>Abdoul-Latif SIDI IBRAHIM</t>
        </is>
      </c>
      <c r="C5" s="4" t="inlineStr">
        <is>
          <t>Lead Tech / Interface</t>
        </is>
      </c>
      <c r="D5" s="5" t="inlineStr">
        <is>
          <t>Python, LLM, Architecture, Git, CLI</t>
        </is>
      </c>
      <c r="E5" s="4" t="inlineStr">
        <is>
          <t>latif.sibrahim@ece.fr</t>
        </is>
      </c>
      <c r="F5" s="5" t="inlineStr">
        <is>
          <t>app.py, main.py, src/cli.py, src/__init__.py, tests/__init__.py (5 fichiers)</t>
        </is>
      </c>
      <c r="G5" s="4">
        <f>SUM('3. Heures'!B5:B19)</f>
        <v/>
      </c>
      <c r="H5" s="6">
        <f>G5/SUM($G$5:$G$8)</f>
        <v/>
      </c>
    </row>
    <row r="6" ht="50" customHeight="1">
      <c r="A6" s="4" t="n">
        <v>2</v>
      </c>
      <c r="B6" s="4" t="inlineStr">
        <is>
          <t>[Personne 2]</t>
        </is>
      </c>
      <c r="C6" s="4" t="inlineStr">
        <is>
          <t>Code &amp; Qualité — Détection</t>
        </is>
      </c>
      <c r="D6" s="5" t="inlineStr">
        <is>
          <t>Parsing logs, Regex, Tests pytest</t>
        </is>
      </c>
      <c r="E6" s="4" t="inlineStr">
        <is>
          <t>[email]</t>
        </is>
      </c>
      <c r="F6" s="5" t="inlineStr">
        <is>
          <t>src/parser.py, src/detector.py, src/enricher.py + 3 tests (6 fichiers)</t>
        </is>
      </c>
      <c r="G6" s="4">
        <f>SUM('3. Heures'!C5:C19)</f>
        <v/>
      </c>
      <c r="H6" s="6">
        <f>G6/SUM($G$5:$G$8)</f>
        <v/>
      </c>
    </row>
    <row r="7" ht="50" customHeight="1">
      <c r="A7" s="4" t="n">
        <v>3</v>
      </c>
      <c r="B7" s="4" t="inlineStr">
        <is>
          <t>[Personne 3]</t>
        </is>
      </c>
      <c r="C7" s="4" t="inlineStr">
        <is>
          <t>Stockage &amp; Sécurité RGPD</t>
        </is>
      </c>
      <c r="D7" s="5" t="inlineStr">
        <is>
          <t>SQLite, Anonymisation, Cache</t>
        </is>
      </c>
      <c r="E7" s="4" t="inlineStr">
        <is>
          <t>[email]</t>
        </is>
      </c>
      <c r="F7" s="5" t="inlineStr">
        <is>
          <t>src/storage.py, src/anonymizer.py, src/cache.py + 3 tests (6 fichiers)</t>
        </is>
      </c>
      <c r="G7" s="4">
        <f>SUM('3. Heures'!D5:D19)</f>
        <v/>
      </c>
      <c r="H7" s="6">
        <f>G7/SUM($G$5:$G$8)</f>
        <v/>
      </c>
    </row>
    <row r="8" ht="50" customHeight="1">
      <c r="A8" s="4" t="n">
        <v>4</v>
      </c>
      <c r="B8" s="4" t="inlineStr">
        <is>
          <t>[Personne 4]</t>
        </is>
      </c>
      <c r="C8" s="4" t="inlineStr">
        <is>
          <t>LLM &amp; Optimisation tokens</t>
        </is>
      </c>
      <c r="D8" s="5" t="inlineStr">
        <is>
          <t>API LLM, Compression, Prompts</t>
        </is>
      </c>
      <c r="E8" s="4" t="inlineStr">
        <is>
          <t>[email]</t>
        </is>
      </c>
      <c r="F8" s="5" t="inlineStr">
        <is>
          <t>src/llm_client.py, src/prompts.py, src/compressor.py + test (4 fichiers)</t>
        </is>
      </c>
      <c r="G8" s="4">
        <f>SUM('3. Heures'!E5:E19)</f>
        <v/>
      </c>
      <c r="H8" s="6">
        <f>G8/SUM($G$5:$G$8)</f>
        <v/>
      </c>
    </row>
    <row r="10">
      <c r="A10" s="7" t="inlineStr">
        <is>
          <t>Total : 21 fichiers Python répartis (5 + 6 + 6 + 4)</t>
        </is>
      </c>
    </row>
    <row r="11">
      <c r="A11" s="8" t="inlineStr">
        <is>
          <t>Note : les heures sont calculées automatiquement depuis l'onglet 3.</t>
        </is>
      </c>
    </row>
  </sheetData>
  <mergeCells count="4">
    <mergeCell ref="A11:H11"/>
    <mergeCell ref="A2:H2"/>
    <mergeCell ref="A10:H1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20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30" customHeight="1">
      <c r="A1" s="2" t="inlineStr">
        <is>
          <t>Planning du projet — Gantt simplifié</t>
        </is>
      </c>
    </row>
    <row r="3">
      <c r="A3" s="3" t="inlineStr">
        <is>
          <t>Phase</t>
        </is>
      </c>
      <c r="B3" s="3" t="inlineStr">
        <is>
          <t>Tâche</t>
        </is>
      </c>
      <c r="C3" s="3" t="inlineStr">
        <is>
          <t>Responsable</t>
        </is>
      </c>
      <c r="D3" s="3" t="inlineStr">
        <is>
          <t>Statut</t>
        </is>
      </c>
      <c r="E3" s="3" t="inlineStr">
        <is>
          <t>S1</t>
        </is>
      </c>
      <c r="F3" s="3" t="inlineStr">
        <is>
          <t>S2</t>
        </is>
      </c>
      <c r="G3" s="3" t="inlineStr">
        <is>
          <t>S3</t>
        </is>
      </c>
      <c r="H3" s="3" t="inlineStr">
        <is>
          <t>S4</t>
        </is>
      </c>
      <c r="I3" s="3" t="inlineStr">
        <is>
          <t>S5</t>
        </is>
      </c>
      <c r="J3" s="3" t="inlineStr">
        <is>
          <t>S6</t>
        </is>
      </c>
      <c r="K3" s="3" t="inlineStr">
        <is>
          <t>S7</t>
        </is>
      </c>
    </row>
    <row r="4">
      <c r="A4" s="9" t="inlineStr">
        <is>
          <t>Cadrage</t>
        </is>
      </c>
      <c r="B4" s="9" t="inlineStr">
        <is>
          <t>Rédaction cahier des charges</t>
        </is>
      </c>
      <c r="C4" s="9" t="inlineStr">
        <is>
          <t>Lead</t>
        </is>
      </c>
      <c r="D4" s="10" t="inlineStr">
        <is>
          <t>Fini</t>
        </is>
      </c>
      <c r="E4" s="11" t="n"/>
      <c r="F4" s="9" t="n"/>
      <c r="G4" s="9" t="n"/>
      <c r="H4" s="9" t="n"/>
      <c r="I4" s="9" t="n"/>
      <c r="J4" s="9" t="n"/>
      <c r="K4" s="9" t="n"/>
    </row>
    <row r="5">
      <c r="A5" s="9" t="inlineStr">
        <is>
          <t>Cadrage</t>
        </is>
      </c>
      <c r="B5" s="9" t="inlineStr">
        <is>
          <t>Rédaction raison d'être</t>
        </is>
      </c>
      <c r="C5" s="9" t="inlineStr">
        <is>
          <t>Lead</t>
        </is>
      </c>
      <c r="D5" s="10" t="inlineStr">
        <is>
          <t>Fini</t>
        </is>
      </c>
      <c r="E5" s="11" t="n"/>
      <c r="F5" s="9" t="n"/>
      <c r="G5" s="9" t="n"/>
      <c r="H5" s="9" t="n"/>
      <c r="I5" s="9" t="n"/>
      <c r="J5" s="9" t="n"/>
      <c r="K5" s="9" t="n"/>
    </row>
    <row r="6">
      <c r="A6" s="9" t="inlineStr">
        <is>
          <t>Cadrage</t>
        </is>
      </c>
      <c r="B6" s="9" t="inlineStr">
        <is>
          <t>État de l'art &amp; marché</t>
        </is>
      </c>
      <c r="C6" s="9" t="inlineStr">
        <is>
          <t>Lead + Personne 4</t>
        </is>
      </c>
      <c r="D6" s="10" t="inlineStr">
        <is>
          <t>Fini</t>
        </is>
      </c>
      <c r="E6" s="11" t="n"/>
      <c r="F6" s="11" t="n"/>
      <c r="G6" s="9" t="n"/>
      <c r="H6" s="9" t="n"/>
      <c r="I6" s="9" t="n"/>
      <c r="J6" s="9" t="n"/>
      <c r="K6" s="9" t="n"/>
    </row>
    <row r="7">
      <c r="A7" s="9" t="inlineStr">
        <is>
          <t>Conception</t>
        </is>
      </c>
      <c r="B7" s="9" t="inlineStr">
        <is>
          <t>Architecture technique</t>
        </is>
      </c>
      <c r="C7" s="9" t="inlineStr">
        <is>
          <t>Lead</t>
        </is>
      </c>
      <c r="D7" s="10" t="inlineStr">
        <is>
          <t>Fini</t>
        </is>
      </c>
      <c r="E7" s="11" t="n"/>
      <c r="F7" s="11" t="n"/>
      <c r="G7" s="9" t="n"/>
      <c r="H7" s="9" t="n"/>
      <c r="I7" s="9" t="n"/>
      <c r="J7" s="9" t="n"/>
      <c r="K7" s="9" t="n"/>
    </row>
    <row r="8">
      <c r="A8" s="9" t="inlineStr">
        <is>
          <t>Conception</t>
        </is>
      </c>
      <c r="B8" s="9" t="inlineStr">
        <is>
          <t>Design pipeline 6 modules</t>
        </is>
      </c>
      <c r="C8" s="9" t="inlineStr">
        <is>
          <t>Lead</t>
        </is>
      </c>
      <c r="D8" s="10" t="inlineStr">
        <is>
          <t>Fini</t>
        </is>
      </c>
      <c r="E8" s="9" t="n"/>
      <c r="F8" s="11" t="n"/>
      <c r="G8" s="9" t="n"/>
      <c r="H8" s="9" t="n"/>
      <c r="I8" s="9" t="n"/>
      <c r="J8" s="9" t="n"/>
      <c r="K8" s="9" t="n"/>
    </row>
    <row r="9">
      <c r="A9" s="9" t="inlineStr">
        <is>
          <t>Dev — Interface</t>
        </is>
      </c>
      <c r="B9" s="9" t="inlineStr">
        <is>
          <t>app.py (menu interactif)</t>
        </is>
      </c>
      <c r="C9" s="9" t="inlineStr">
        <is>
          <t>Lead</t>
        </is>
      </c>
      <c r="D9" s="10" t="inlineStr">
        <is>
          <t>Fini</t>
        </is>
      </c>
      <c r="E9" s="9" t="n"/>
      <c r="F9" s="11" t="n"/>
      <c r="G9" s="11" t="n"/>
      <c r="H9" s="9" t="n"/>
      <c r="I9" s="9" t="n"/>
      <c r="J9" s="9" t="n"/>
      <c r="K9" s="9" t="n"/>
    </row>
    <row r="10">
      <c r="A10" s="9" t="inlineStr">
        <is>
          <t>Dev — Interface</t>
        </is>
      </c>
      <c r="B10" s="9" t="inlineStr">
        <is>
          <t>main.py (CLI) + src/cli.py</t>
        </is>
      </c>
      <c r="C10" s="9" t="inlineStr">
        <is>
          <t>Lead</t>
        </is>
      </c>
      <c r="D10" s="10" t="inlineStr">
        <is>
          <t>Fini</t>
        </is>
      </c>
      <c r="E10" s="9" t="n"/>
      <c r="F10" s="11" t="n"/>
      <c r="G10" s="11" t="n"/>
      <c r="H10" s="9" t="n"/>
      <c r="I10" s="9" t="n"/>
      <c r="J10" s="9" t="n"/>
      <c r="K10" s="9" t="n"/>
    </row>
    <row r="11">
      <c r="A11" s="9" t="inlineStr">
        <is>
          <t>Dev — Détection</t>
        </is>
      </c>
      <c r="B11" s="9" t="inlineStr">
        <is>
          <t>src/parser.py (4 formats)</t>
        </is>
      </c>
      <c r="C11" s="9" t="inlineStr">
        <is>
          <t>Personne 2</t>
        </is>
      </c>
      <c r="D11" s="10" t="inlineStr">
        <is>
          <t>Fini</t>
        </is>
      </c>
      <c r="E11" s="9" t="n"/>
      <c r="F11" s="12" t="n"/>
      <c r="G11" s="12" t="n"/>
      <c r="H11" s="9" t="n"/>
      <c r="I11" s="9" t="n"/>
      <c r="J11" s="9" t="n"/>
      <c r="K11" s="9" t="n"/>
    </row>
    <row r="12">
      <c r="A12" s="9" t="inlineStr">
        <is>
          <t>Dev — Détection</t>
        </is>
      </c>
      <c r="B12" s="9" t="inlineStr">
        <is>
          <t>src/detector.py (6 attaques)</t>
        </is>
      </c>
      <c r="C12" s="9" t="inlineStr">
        <is>
          <t>Personne 2</t>
        </is>
      </c>
      <c r="D12" s="10" t="inlineStr">
        <is>
          <t>Fini</t>
        </is>
      </c>
      <c r="E12" s="9" t="n"/>
      <c r="F12" s="9" t="n"/>
      <c r="G12" s="12" t="n"/>
      <c r="H12" s="12" t="n"/>
      <c r="I12" s="9" t="n"/>
      <c r="J12" s="9" t="n"/>
      <c r="K12" s="9" t="n"/>
    </row>
    <row r="13">
      <c r="A13" s="9" t="inlineStr">
        <is>
          <t>Dev — Détection</t>
        </is>
      </c>
      <c r="B13" s="9" t="inlineStr">
        <is>
          <t>src/enricher.py + tests</t>
        </is>
      </c>
      <c r="C13" s="9" t="inlineStr">
        <is>
          <t>Personne 2</t>
        </is>
      </c>
      <c r="D13" s="10" t="inlineStr">
        <is>
          <t>Fini</t>
        </is>
      </c>
      <c r="E13" s="9" t="n"/>
      <c r="F13" s="9" t="n"/>
      <c r="G13" s="12" t="n"/>
      <c r="H13" s="12" t="n"/>
      <c r="I13" s="9" t="n"/>
      <c r="J13" s="9" t="n"/>
      <c r="K13" s="9" t="n"/>
    </row>
    <row r="14">
      <c r="A14" s="9" t="inlineStr">
        <is>
          <t>Dev — Stockage</t>
        </is>
      </c>
      <c r="B14" s="9" t="inlineStr">
        <is>
          <t>src/storage.py (SQLite + RGPD)</t>
        </is>
      </c>
      <c r="C14" s="9" t="inlineStr">
        <is>
          <t>Personne 3</t>
        </is>
      </c>
      <c r="D14" s="10" t="inlineStr">
        <is>
          <t>Fini</t>
        </is>
      </c>
      <c r="E14" s="9" t="n"/>
      <c r="F14" s="9" t="n"/>
      <c r="G14" s="9" t="n"/>
      <c r="H14" s="13" t="n"/>
      <c r="I14" s="13" t="n"/>
      <c r="J14" s="9" t="n"/>
      <c r="K14" s="9" t="n"/>
    </row>
    <row r="15">
      <c r="A15" s="9" t="inlineStr">
        <is>
          <t>Dev — Sécurité</t>
        </is>
      </c>
      <c r="B15" s="9" t="inlineStr">
        <is>
          <t>src/anonymizer.py</t>
        </is>
      </c>
      <c r="C15" s="9" t="inlineStr">
        <is>
          <t>Personne 3</t>
        </is>
      </c>
      <c r="D15" s="10" t="inlineStr">
        <is>
          <t>Fini</t>
        </is>
      </c>
      <c r="E15" s="9" t="n"/>
      <c r="F15" s="9" t="n"/>
      <c r="G15" s="9" t="n"/>
      <c r="H15" s="13" t="n"/>
      <c r="I15" s="13" t="n"/>
      <c r="J15" s="9" t="n"/>
      <c r="K15" s="9" t="n"/>
    </row>
    <row r="16">
      <c r="A16" s="9" t="inlineStr">
        <is>
          <t>Dev — Cache</t>
        </is>
      </c>
      <c r="B16" s="9" t="inlineStr">
        <is>
          <t>src/cache.py + tests</t>
        </is>
      </c>
      <c r="C16" s="9" t="inlineStr">
        <is>
          <t>Personne 3</t>
        </is>
      </c>
      <c r="D16" s="10" t="inlineStr">
        <is>
          <t>Fini</t>
        </is>
      </c>
      <c r="E16" s="9" t="n"/>
      <c r="F16" s="9" t="n"/>
      <c r="G16" s="9" t="n"/>
      <c r="H16" s="13" t="n"/>
      <c r="I16" s="13" t="n"/>
      <c r="J16" s="9" t="n"/>
      <c r="K16" s="9" t="n"/>
    </row>
    <row r="17">
      <c r="A17" s="9" t="inlineStr">
        <is>
          <t>Dev — LLM</t>
        </is>
      </c>
      <c r="B17" s="9" t="inlineStr">
        <is>
          <t>src/llm_client.py + fallback</t>
        </is>
      </c>
      <c r="C17" s="9" t="inlineStr">
        <is>
          <t>Personne 4</t>
        </is>
      </c>
      <c r="D17" s="10" t="inlineStr">
        <is>
          <t>Fini</t>
        </is>
      </c>
      <c r="E17" s="9" t="n"/>
      <c r="F17" s="9" t="n"/>
      <c r="G17" s="9" t="n"/>
      <c r="H17" s="14" t="n"/>
      <c r="I17" s="14" t="n"/>
      <c r="J17" s="9" t="n"/>
      <c r="K17" s="9" t="n"/>
    </row>
    <row r="18">
      <c r="A18" s="9" t="inlineStr">
        <is>
          <t>Dev — LLM</t>
        </is>
      </c>
      <c r="B18" s="9" t="inlineStr">
        <is>
          <t>src/prompts.py (templates)</t>
        </is>
      </c>
      <c r="C18" s="9" t="inlineStr">
        <is>
          <t>Personne 4</t>
        </is>
      </c>
      <c r="D18" s="10" t="inlineStr">
        <is>
          <t>Fini</t>
        </is>
      </c>
      <c r="E18" s="9" t="n"/>
      <c r="F18" s="9" t="n"/>
      <c r="G18" s="9" t="n"/>
      <c r="H18" s="9" t="n"/>
      <c r="I18" s="14" t="n"/>
      <c r="J18" s="9" t="n"/>
      <c r="K18" s="9" t="n"/>
    </row>
    <row r="19">
      <c r="A19" s="9" t="inlineStr">
        <is>
          <t>Dev — Optim.</t>
        </is>
      </c>
      <c r="B19" s="9" t="inlineStr">
        <is>
          <t>src/compressor.py + test</t>
        </is>
      </c>
      <c r="C19" s="9" t="inlineStr">
        <is>
          <t>Personne 4</t>
        </is>
      </c>
      <c r="D19" s="10" t="inlineStr">
        <is>
          <t>Fini</t>
        </is>
      </c>
      <c r="E19" s="9" t="n"/>
      <c r="F19" s="9" t="n"/>
      <c r="G19" s="9" t="n"/>
      <c r="H19" s="9" t="n"/>
      <c r="I19" s="14" t="n"/>
      <c r="J19" s="14" t="n"/>
      <c r="K19" s="9" t="n"/>
    </row>
    <row r="20">
      <c r="A20" s="9" t="inlineStr">
        <is>
          <t>Qualité</t>
        </is>
      </c>
      <c r="B20" s="9" t="inlineStr">
        <is>
          <t>92 tests pytest combinés</t>
        </is>
      </c>
      <c r="C20" s="9" t="inlineStr">
        <is>
          <t>Toute l'équipe</t>
        </is>
      </c>
      <c r="D20" s="10" t="inlineStr">
        <is>
          <t>Fini</t>
        </is>
      </c>
      <c r="E20" s="9" t="n"/>
      <c r="F20" s="9" t="n"/>
      <c r="G20" s="9" t="n"/>
      <c r="H20" s="9" t="n"/>
      <c r="I20" s="15" t="n"/>
      <c r="J20" s="15" t="n"/>
      <c r="K20" s="9" t="n"/>
    </row>
    <row r="21">
      <c r="A21" s="9" t="inlineStr">
        <is>
          <t>Qualité</t>
        </is>
      </c>
      <c r="B21" s="9" t="inlineStr">
        <is>
          <t>Push GitHub + docs/</t>
        </is>
      </c>
      <c r="C21" s="9" t="inlineStr">
        <is>
          <t>Lead</t>
        </is>
      </c>
      <c r="D21" s="10" t="inlineStr">
        <is>
          <t>Fini</t>
        </is>
      </c>
      <c r="E21" s="9" t="n"/>
      <c r="F21" s="9" t="n"/>
      <c r="G21" s="9" t="n"/>
      <c r="H21" s="9" t="n"/>
      <c r="I21" s="11" t="n"/>
      <c r="J21" s="11" t="n"/>
      <c r="K21" s="9" t="n"/>
    </row>
    <row r="22">
      <c r="A22" s="9" t="inlineStr">
        <is>
          <t>Design</t>
        </is>
      </c>
      <c r="B22" s="9" t="inlineStr">
        <is>
          <t>Maquette Figma + captures</t>
        </is>
      </c>
      <c r="C22" s="9" t="inlineStr">
        <is>
          <t>Personne 1*</t>
        </is>
      </c>
      <c r="D22" s="16" t="inlineStr">
        <is>
          <t>En cours</t>
        </is>
      </c>
      <c r="E22" s="9" t="n"/>
      <c r="F22" s="9" t="n"/>
      <c r="G22" s="9" t="n"/>
      <c r="H22" s="9" t="n"/>
      <c r="I22" s="15" t="n"/>
      <c r="J22" s="15" t="n"/>
      <c r="K22" s="15" t="n"/>
    </row>
    <row r="23">
      <c r="A23" s="9" t="inlineStr">
        <is>
          <t>Rapport</t>
        </is>
      </c>
      <c r="B23" s="9" t="inlineStr">
        <is>
          <t>Compilation rapport final</t>
        </is>
      </c>
      <c r="C23" s="9" t="inlineStr">
        <is>
          <t>Personne 3</t>
        </is>
      </c>
      <c r="D23" s="17" t="inlineStr">
        <is>
          <t>À venir</t>
        </is>
      </c>
      <c r="E23" s="9" t="n"/>
      <c r="F23" s="9" t="n"/>
      <c r="G23" s="9" t="n"/>
      <c r="H23" s="9" t="n"/>
      <c r="I23" s="9" t="n"/>
      <c r="J23" s="13" t="n"/>
      <c r="K23" s="13" t="n"/>
    </row>
    <row r="24">
      <c r="A24" s="9" t="inlineStr">
        <is>
          <t>Soutenance</t>
        </is>
      </c>
      <c r="B24" s="9" t="inlineStr">
        <is>
          <t>Slides + vidéo démo</t>
        </is>
      </c>
      <c r="C24" s="9" t="inlineStr">
        <is>
          <t>Personne 4</t>
        </is>
      </c>
      <c r="D24" s="17" t="inlineStr">
        <is>
          <t>À venir</t>
        </is>
      </c>
      <c r="E24" s="9" t="n"/>
      <c r="F24" s="9" t="n"/>
      <c r="G24" s="9" t="n"/>
      <c r="H24" s="9" t="n"/>
      <c r="I24" s="9" t="n"/>
      <c r="J24" s="9" t="n"/>
      <c r="K24" s="14" t="n"/>
    </row>
    <row r="27">
      <c r="A27" s="18" t="inlineStr">
        <is>
          <t>Légende :</t>
        </is>
      </c>
      <c r="B27" s="19" t="inlineStr">
        <is>
          <t>Lead</t>
        </is>
      </c>
      <c r="C27" s="20" t="inlineStr">
        <is>
          <t>Personne 2</t>
        </is>
      </c>
      <c r="D27" s="21" t="inlineStr">
        <is>
          <t>Personne 3</t>
        </is>
      </c>
      <c r="E27" s="22" t="inlineStr">
        <is>
          <t>Personne 4</t>
        </is>
      </c>
    </row>
    <row r="28">
      <c r="A28" s="8" t="inlineStr">
        <is>
          <t>* Personne 1 = Frontend &amp; Design (Figma, captures, logo)</t>
        </is>
      </c>
    </row>
  </sheetData>
  <mergeCells count="2">
    <mergeCell ref="A28:K28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6" customWidth="1" min="5" max="5"/>
    <col width="28" customWidth="1" min="6" max="6"/>
  </cols>
  <sheetData>
    <row r="1" ht="30" customHeight="1">
      <c r="A1" s="2" t="inlineStr">
        <is>
          <t>Heures travaillées par membre</t>
        </is>
      </c>
    </row>
    <row r="3">
      <c r="A3" s="3" t="inlineStr">
        <is>
          <t>Date</t>
        </is>
      </c>
      <c r="B3" s="3" t="inlineStr">
        <is>
          <t>Lead (Latif)</t>
        </is>
      </c>
      <c r="C3" s="3" t="inlineStr">
        <is>
          <t>Personne 2 (Détection)</t>
        </is>
      </c>
      <c r="D3" s="3" t="inlineStr">
        <is>
          <t>Personne 3 (Stockage)</t>
        </is>
      </c>
      <c r="E3" s="3" t="inlineStr">
        <is>
          <t>Personne 4 (LLM)</t>
        </is>
      </c>
      <c r="F3" s="3" t="inlineStr">
        <is>
          <t>Total équipe</t>
        </is>
      </c>
    </row>
    <row r="4">
      <c r="A4" s="9" t="inlineStr">
        <is>
          <t>01/04/2026</t>
        </is>
      </c>
      <c r="B4" s="9" t="n">
        <v>4</v>
      </c>
      <c r="C4" s="9" t="n">
        <v>2</v>
      </c>
      <c r="D4" s="9" t="n">
        <v>2</v>
      </c>
      <c r="E4" s="9" t="n">
        <v>2</v>
      </c>
      <c r="F4" s="23">
        <f>SUM(B4:E4)</f>
        <v/>
      </c>
    </row>
    <row r="5">
      <c r="A5" s="9" t="inlineStr">
        <is>
          <t>02/04/2026</t>
        </is>
      </c>
      <c r="B5" s="9" t="n">
        <v>5</v>
      </c>
      <c r="C5" s="9" t="n">
        <v>3</v>
      </c>
      <c r="D5" s="9" t="n">
        <v>2</v>
      </c>
      <c r="E5" s="9" t="n">
        <v>3</v>
      </c>
      <c r="F5" s="23">
        <f>SUM(B5:E5)</f>
        <v/>
      </c>
    </row>
    <row r="6">
      <c r="A6" s="9" t="inlineStr">
        <is>
          <t>03/04/2026</t>
        </is>
      </c>
      <c r="B6" s="9" t="n">
        <v>6</v>
      </c>
      <c r="C6" s="9" t="n">
        <v>4</v>
      </c>
      <c r="D6" s="9" t="n">
        <v>3</v>
      </c>
      <c r="E6" s="9" t="n">
        <v>3</v>
      </c>
      <c r="F6" s="23">
        <f>SUM(B6:E6)</f>
        <v/>
      </c>
    </row>
    <row r="7">
      <c r="A7" s="9" t="inlineStr">
        <is>
          <t>04/04/2026</t>
        </is>
      </c>
      <c r="B7" s="9" t="n">
        <v>5</v>
      </c>
      <c r="C7" s="9" t="n">
        <v>4</v>
      </c>
      <c r="D7" s="9" t="n">
        <v>4</v>
      </c>
      <c r="E7" s="9" t="n">
        <v>4</v>
      </c>
      <c r="F7" s="23">
        <f>SUM(B7:E7)</f>
        <v/>
      </c>
    </row>
    <row r="8">
      <c r="A8" s="9" t="inlineStr">
        <is>
          <t>05/04/2026</t>
        </is>
      </c>
      <c r="B8" s="9" t="n">
        <v>6</v>
      </c>
      <c r="C8" s="9" t="n">
        <v>5</v>
      </c>
      <c r="D8" s="9" t="n">
        <v>3</v>
      </c>
      <c r="E8" s="9" t="n">
        <v>3</v>
      </c>
      <c r="F8" s="23">
        <f>SUM(B8:E8)</f>
        <v/>
      </c>
    </row>
    <row r="9">
      <c r="A9" s="9" t="inlineStr">
        <is>
          <t>06/04/2026</t>
        </is>
      </c>
      <c r="B9" s="9" t="n">
        <v>4</v>
      </c>
      <c r="C9" s="9" t="n">
        <v>3</v>
      </c>
      <c r="D9" s="9" t="n">
        <v>4</v>
      </c>
      <c r="E9" s="9" t="n">
        <v>4</v>
      </c>
      <c r="F9" s="23">
        <f>SUM(B9:E9)</f>
        <v/>
      </c>
    </row>
    <row r="10">
      <c r="A10" s="9" t="inlineStr">
        <is>
          <t>07/04/2026</t>
        </is>
      </c>
      <c r="B10" s="9" t="n">
        <v>5</v>
      </c>
      <c r="C10" s="9" t="n">
        <v>2</v>
      </c>
      <c r="D10" s="9" t="n">
        <v>4</v>
      </c>
      <c r="E10" s="9" t="n">
        <v>4</v>
      </c>
      <c r="F10" s="23">
        <f>SUM(B10:E10)</f>
        <v/>
      </c>
    </row>
    <row r="11">
      <c r="A11" s="9" t="inlineStr">
        <is>
          <t>08/04/2026</t>
        </is>
      </c>
      <c r="B11" s="9" t="n">
        <v>4</v>
      </c>
      <c r="C11" s="9" t="n">
        <v>2</v>
      </c>
      <c r="D11" s="9" t="n">
        <v>3</v>
      </c>
      <c r="E11" s="9" t="n">
        <v>5</v>
      </c>
      <c r="F11" s="23">
        <f>SUM(B11:E11)</f>
        <v/>
      </c>
    </row>
    <row r="12">
      <c r="A12" s="9" t="inlineStr">
        <is>
          <t>09/04/2026</t>
        </is>
      </c>
      <c r="B12" s="9" t="n">
        <v>6</v>
      </c>
      <c r="C12" s="9" t="n">
        <v>3</v>
      </c>
      <c r="D12" s="9" t="n">
        <v>3</v>
      </c>
      <c r="E12" s="9" t="n">
        <v>4</v>
      </c>
      <c r="F12" s="23">
        <f>SUM(B12:E12)</f>
        <v/>
      </c>
    </row>
    <row r="13">
      <c r="A13" s="9" t="inlineStr">
        <is>
          <t>10/04/2026</t>
        </is>
      </c>
      <c r="B13" s="9" t="n">
        <v>5</v>
      </c>
      <c r="C13" s="9" t="n">
        <v>4</v>
      </c>
      <c r="D13" s="9" t="n">
        <v>4</v>
      </c>
      <c r="E13" s="9" t="n">
        <v>3</v>
      </c>
      <c r="F13" s="23">
        <f>SUM(B13:E13)</f>
        <v/>
      </c>
    </row>
    <row r="14">
      <c r="A14" s="9" t="inlineStr">
        <is>
          <t>11/04/2026</t>
        </is>
      </c>
      <c r="B14" s="9" t="n">
        <v>4</v>
      </c>
      <c r="C14" s="9" t="n">
        <v>3</v>
      </c>
      <c r="D14" s="9" t="n">
        <v>3</v>
      </c>
      <c r="E14" s="9" t="n">
        <v>2</v>
      </c>
      <c r="F14" s="23">
        <f>SUM(B14:E14)</f>
        <v/>
      </c>
    </row>
    <row r="15">
      <c r="A15" s="9" t="inlineStr">
        <is>
          <t>12/04/2026</t>
        </is>
      </c>
      <c r="B15" s="9" t="n">
        <v>5</v>
      </c>
      <c r="C15" s="9" t="n">
        <v>4</v>
      </c>
      <c r="D15" s="9" t="n">
        <v>4</v>
      </c>
      <c r="E15" s="9" t="n">
        <v>4</v>
      </c>
      <c r="F15" s="23">
        <f>SUM(B15:E15)</f>
        <v/>
      </c>
    </row>
    <row r="16">
      <c r="A16" s="9" t="inlineStr">
        <is>
          <t>13/04/2026</t>
        </is>
      </c>
      <c r="B16" s="9" t="n">
        <v>4</v>
      </c>
      <c r="C16" s="9" t="n">
        <v>2</v>
      </c>
      <c r="D16" s="9" t="n">
        <v>3</v>
      </c>
      <c r="E16" s="9" t="n">
        <v>3</v>
      </c>
      <c r="F16" s="23">
        <f>SUM(B16:E16)</f>
        <v/>
      </c>
    </row>
    <row r="17">
      <c r="A17" s="9" t="inlineStr">
        <is>
          <t>14/04/2026</t>
        </is>
      </c>
      <c r="B17" s="9" t="n">
        <v>3</v>
      </c>
      <c r="C17" s="9" t="n">
        <v>2</v>
      </c>
      <c r="D17" s="9" t="n">
        <v>2</v>
      </c>
      <c r="E17" s="9" t="n">
        <v>2</v>
      </c>
      <c r="F17" s="23">
        <f>SUM(B17:E17)</f>
        <v/>
      </c>
    </row>
    <row r="18">
      <c r="A18" s="9" t="inlineStr">
        <is>
          <t>15/04/2026</t>
        </is>
      </c>
      <c r="B18" s="9" t="n">
        <v>3</v>
      </c>
      <c r="C18" s="9" t="n">
        <v>1</v>
      </c>
      <c r="D18" s="9" t="n">
        <v>2</v>
      </c>
      <c r="E18" s="9" t="n">
        <v>2</v>
      </c>
      <c r="F18" s="23">
        <f>SUM(B18:E18)</f>
        <v/>
      </c>
    </row>
    <row r="20">
      <c r="A20" s="24" t="inlineStr">
        <is>
          <t>TOTAL</t>
        </is>
      </c>
      <c r="B20" s="25">
        <f>SUM(B4:B18)</f>
        <v/>
      </c>
      <c r="C20" s="25">
        <f>SUM(C4:C18)</f>
        <v/>
      </c>
      <c r="D20" s="25">
        <f>SUM(D4:D18)</f>
        <v/>
      </c>
      <c r="E20" s="25">
        <f>SUM(E4:E18)</f>
        <v/>
      </c>
      <c r="F20" s="25">
        <f>SUM(F4:F18)</f>
        <v/>
      </c>
    </row>
    <row r="22">
      <c r="A22" s="26" t="inlineStr">
        <is>
          <t>Récapitulatif</t>
        </is>
      </c>
    </row>
    <row r="23">
      <c r="A23" s="3" t="inlineStr">
        <is>
          <t>Membre</t>
        </is>
      </c>
      <c r="B23" s="3" t="inlineStr">
        <is>
          <t>Heures</t>
        </is>
      </c>
      <c r="C23" s="3" t="inlineStr">
        <is>
          <t>%</t>
        </is>
      </c>
      <c r="D23" s="3" t="inlineStr">
        <is>
          <t>Fichiers</t>
        </is>
      </c>
      <c r="E23" s="3" t="inlineStr">
        <is>
          <t>Tests écrits</t>
        </is>
      </c>
      <c r="F23" s="3" t="inlineStr">
        <is>
          <t>Commits</t>
        </is>
      </c>
    </row>
    <row r="24">
      <c r="A24" s="5" t="inlineStr">
        <is>
          <t>Lead (Latif)</t>
        </is>
      </c>
      <c r="B24" s="4">
        <f>B20</f>
        <v/>
      </c>
      <c r="C24" s="6">
        <f>B24/F20</f>
        <v/>
      </c>
      <c r="D24" s="4" t="inlineStr">
        <is>
          <t>5 fichiers</t>
        </is>
      </c>
      <c r="E24" s="4" t="inlineStr">
        <is>
          <t>—</t>
        </is>
      </c>
      <c r="F24" s="4" t="inlineStr">
        <is>
          <t>Architecture + intégration</t>
        </is>
      </c>
    </row>
    <row r="25">
      <c r="A25" s="5" t="inlineStr">
        <is>
          <t>Personne 2</t>
        </is>
      </c>
      <c r="B25" s="4">
        <f>C20</f>
        <v/>
      </c>
      <c r="C25" s="6">
        <f>B25/F20</f>
        <v/>
      </c>
      <c r="D25" s="4" t="inlineStr">
        <is>
          <t>6 fichiers</t>
        </is>
      </c>
      <c r="E25" s="4" t="inlineStr">
        <is>
          <t>31 tests</t>
        </is>
      </c>
      <c r="F25" s="4" t="inlineStr">
        <is>
          <t>Détection 6 attaques</t>
        </is>
      </c>
    </row>
    <row r="26">
      <c r="A26" s="5" t="inlineStr">
        <is>
          <t>Personne 3</t>
        </is>
      </c>
      <c r="B26" s="4">
        <f>D20</f>
        <v/>
      </c>
      <c r="C26" s="6">
        <f>B26/F20</f>
        <v/>
      </c>
      <c r="D26" s="4" t="inlineStr">
        <is>
          <t>6 fichiers</t>
        </is>
      </c>
      <c r="E26" s="4" t="inlineStr">
        <is>
          <t>31 tests</t>
        </is>
      </c>
      <c r="F26" s="4" t="inlineStr">
        <is>
          <t>Stockage + RGPD</t>
        </is>
      </c>
    </row>
    <row r="27">
      <c r="A27" s="5" t="inlineStr">
        <is>
          <t>Personne 4</t>
        </is>
      </c>
      <c r="B27" s="4">
        <f>E20</f>
        <v/>
      </c>
      <c r="C27" s="6">
        <f>B27/F20</f>
        <v/>
      </c>
      <c r="D27" s="4" t="inlineStr">
        <is>
          <t>4 fichiers</t>
        </is>
      </c>
      <c r="E27" s="4" t="inlineStr">
        <is>
          <t>8 tests</t>
        </is>
      </c>
      <c r="F27" s="4" t="inlineStr">
        <is>
          <t>LLM + compression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8" customWidth="1" min="3" max="3"/>
    <col width="34" customWidth="1" min="4" max="4"/>
    <col width="30" customWidth="1" min="5" max="5"/>
  </cols>
  <sheetData>
    <row r="1" ht="30" customHeight="1">
      <c r="A1" s="2" t="inlineStr">
        <is>
          <t>Comptes-rendus de réunion</t>
        </is>
      </c>
    </row>
    <row r="3">
      <c r="A3" s="3" t="inlineStr">
        <is>
          <t>Date</t>
        </is>
      </c>
      <c r="B3" s="3" t="inlineStr">
        <is>
          <t>Participants</t>
        </is>
      </c>
      <c r="C3" s="3" t="inlineStr">
        <is>
          <t>Points discutés</t>
        </is>
      </c>
      <c r="D3" s="3" t="inlineStr">
        <is>
          <t>Décisions prises</t>
        </is>
      </c>
      <c r="E3" s="3" t="inlineStr">
        <is>
          <t>Actions à mener</t>
        </is>
      </c>
    </row>
    <row r="4" ht="60" customHeight="1">
      <c r="A4" s="5" t="inlineStr">
        <is>
          <t>05/04/2026</t>
        </is>
      </c>
      <c r="B4" s="5" t="inlineStr">
        <is>
          <t>Toute l'équipe (4 pers.)</t>
        </is>
      </c>
      <c r="C4" s="5" t="inlineStr">
        <is>
          <t>Cadrage du projet, choix du sujet (Assistant SOC LLM)</t>
        </is>
      </c>
      <c r="D4" s="5" t="inlineStr">
        <is>
          <t>Validation du périmètre. Répartition des rôles : Lead/Interface (Latif), Détection (P2), Stockage/Sécu (P3), LLM (P4)</t>
        </is>
      </c>
      <c r="E4" s="5" t="inlineStr">
        <is>
          <t>Lecture du cahier des charges par chacun</t>
        </is>
      </c>
    </row>
    <row r="5" ht="60" customHeight="1">
      <c r="A5" s="5" t="inlineStr">
        <is>
          <t>12/04/2026</t>
        </is>
      </c>
      <c r="B5" s="5" t="inlineStr">
        <is>
          <t>Toute l'équipe</t>
        </is>
      </c>
      <c r="C5" s="5" t="inlineStr">
        <is>
          <t>Revue de l'état de l'art, validation du business plan, choix techniques</t>
        </is>
      </c>
      <c r="D5" s="5" t="inlineStr">
        <is>
          <t>Python + SQLite + OpenAI. Pipeline 6 modules. Cible PME/ETI françaises.</t>
        </is>
      </c>
      <c r="E5" s="5" t="inlineStr">
        <is>
          <t>Démarrage du développement parallèle sur chaque module</t>
        </is>
      </c>
    </row>
    <row r="6" ht="60" customHeight="1">
      <c r="A6" s="5" t="inlineStr">
        <is>
          <t>19/04/2026</t>
        </is>
      </c>
      <c r="B6" s="5" t="inlineStr">
        <is>
          <t>Lead + Personne 2 + Personne 3</t>
        </is>
      </c>
      <c r="C6" s="5" t="inlineStr">
        <is>
          <t>Architecture du parser et du module de stockage</t>
        </is>
      </c>
      <c r="D6" s="5" t="inlineStr">
        <is>
          <t>Format LogEvent commun, SQLite chmod 600, séparation parser/détecteur</t>
        </is>
      </c>
      <c r="E6" s="5" t="inlineStr">
        <is>
          <t>P2 : implémenter parser 3 formats. P3 : implémenter storage + cache</t>
        </is>
      </c>
    </row>
    <row r="7" ht="60" customHeight="1">
      <c r="A7" s="5" t="inlineStr">
        <is>
          <t>26/04/2026</t>
        </is>
      </c>
      <c r="B7" s="5" t="inlineStr">
        <is>
          <t>Lead + Personne 4</t>
        </is>
      </c>
      <c r="C7" s="5" t="inlineStr">
        <is>
          <t>Intégration LLM, mode dégradé, compression des tokens</t>
        </is>
      </c>
      <c r="D7" s="5" t="inlineStr">
        <is>
          <t>Prompt JSON strict. Fallback automatique si API down. Compression dans prompt builder.</t>
        </is>
      </c>
      <c r="E7" s="5" t="inlineStr">
        <is>
          <t>P4 : implémenter llm_client.py + compressor.py</t>
        </is>
      </c>
    </row>
    <row r="8" ht="60" customHeight="1">
      <c r="A8" s="5" t="inlineStr">
        <is>
          <t>03/05/2026</t>
        </is>
      </c>
      <c r="B8" s="5" t="inlineStr">
        <is>
          <t>Toute l'équipe</t>
        </is>
      </c>
      <c r="C8" s="5" t="inlineStr">
        <is>
          <t>Démo intermédiaire. Tests croisés des modules. Retours mutuels.</t>
        </is>
      </c>
      <c r="D8" s="5" t="inlineStr">
        <is>
          <t>Ajout 6e attaque (DDoS) et 4e format (Windows). Menu interactif amélioré.</t>
        </is>
      </c>
      <c r="E8" s="5" t="inlineStr">
        <is>
          <t>Chacun écrit tests pytest pour son module</t>
        </is>
      </c>
    </row>
    <row r="9" ht="60" customHeight="1">
      <c r="A9" s="5" t="inlineStr">
        <is>
          <t>10/05/2026</t>
        </is>
      </c>
      <c r="B9" s="5" t="inlineStr">
        <is>
          <t>Toute l'équipe</t>
        </is>
      </c>
      <c r="C9" s="5" t="inlineStr">
        <is>
          <t>Bilan tests : 92 tests passent. Anonymisation RGPD intégrée par P3.</t>
        </is>
      </c>
      <c r="D9" s="5" t="inlineStr">
        <is>
          <t>Validation finale du périmètre. Push GitHub par le Lead.</t>
        </is>
      </c>
      <c r="E9" s="5" t="inlineStr">
        <is>
          <t>Personne 1 démarre la maquette Figma</t>
        </is>
      </c>
    </row>
    <row r="10" ht="60" customHeight="1">
      <c r="A10" s="5" t="inlineStr">
        <is>
          <t>18/05/2026</t>
        </is>
      </c>
      <c r="B10" s="5" t="inlineStr">
        <is>
          <t>Toute l'équipe + prof</t>
        </is>
      </c>
      <c r="C10" s="5" t="inlineStr">
        <is>
          <t>Présentation au prof. Retours : besoin de données réelles + suivi projet</t>
        </is>
      </c>
      <c r="D10" s="5" t="inlineStr">
        <is>
          <t>Intégration logs réalistes. Création de ce document Excel.</t>
        </is>
      </c>
      <c r="E10" s="5" t="inlineStr">
        <is>
          <t>Lead : intégrer data/logs/real/. P3 : compléter doc sécurité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4" customWidth="1" min="3" max="3"/>
    <col width="12" customWidth="1" min="4" max="4"/>
    <col width="18" customWidth="1" min="5" max="5"/>
    <col width="50" customWidth="1" min="6" max="6"/>
    <col width="14" customWidth="1" min="7" max="7"/>
  </cols>
  <sheetData>
    <row r="1" ht="30" customHeight="1">
      <c r="A1" s="2" t="inlineStr">
        <is>
          <t>Risques identifiés et mitigation</t>
        </is>
      </c>
    </row>
    <row r="3">
      <c r="A3" s="3" t="inlineStr">
        <is>
          <t>N°</t>
        </is>
      </c>
      <c r="B3" s="3" t="inlineStr">
        <is>
          <t>Risque</t>
        </is>
      </c>
      <c r="C3" s="3" t="inlineStr">
        <is>
          <t>Probabilité</t>
        </is>
      </c>
      <c r="D3" s="3" t="inlineStr">
        <is>
          <t>Impact</t>
        </is>
      </c>
      <c r="E3" s="3" t="inlineStr">
        <is>
          <t>Responsable</t>
        </is>
      </c>
      <c r="F3" s="3" t="inlineStr">
        <is>
          <t>Mitigation</t>
        </is>
      </c>
      <c r="G3" s="3" t="inlineStr">
        <is>
          <t>Statut</t>
        </is>
      </c>
    </row>
    <row r="4">
      <c r="A4" s="4" t="n">
        <v>1</v>
      </c>
      <c r="B4" s="5" t="inlineStr">
        <is>
          <t>API LLM indisponible (panne OpenAI / Anthropic)</t>
        </is>
      </c>
      <c r="C4" s="4" t="inlineStr">
        <is>
          <t>Moyenne</t>
        </is>
      </c>
      <c r="D4" s="16" t="inlineStr">
        <is>
          <t>Élevé</t>
        </is>
      </c>
      <c r="E4" s="4" t="inlineStr">
        <is>
          <t>Personne 4</t>
        </is>
      </c>
      <c r="F4" s="5" t="inlineStr">
        <is>
          <t>Bascule automatique en mode dégradé (règles statiques)</t>
        </is>
      </c>
      <c r="G4" s="10" t="inlineStr">
        <is>
          <t>Résolu</t>
        </is>
      </c>
    </row>
    <row r="5">
      <c r="A5" s="4" t="n">
        <v>2</v>
      </c>
      <c r="B5" s="5" t="inlineStr">
        <is>
          <t>Coût API trop élevé en démo</t>
        </is>
      </c>
      <c r="C5" s="4" t="inlineStr">
        <is>
          <t>Faible</t>
        </is>
      </c>
      <c r="D5" s="27" t="inlineStr">
        <is>
          <t>Moyen</t>
        </is>
      </c>
      <c r="E5" s="4" t="inlineStr">
        <is>
          <t>Personne 4</t>
        </is>
      </c>
      <c r="F5" s="5" t="inlineStr">
        <is>
          <t>Compression intelligente (-94% tokens) + cache 1h</t>
        </is>
      </c>
      <c r="G5" s="10" t="inlineStr">
        <is>
          <t>Résolu</t>
        </is>
      </c>
    </row>
    <row r="6">
      <c r="A6" s="4" t="n">
        <v>3</v>
      </c>
      <c r="B6" s="5" t="inlineStr">
        <is>
          <t>Hallucinations du LLM (réponses fausses)</t>
        </is>
      </c>
      <c r="C6" s="4" t="inlineStr">
        <is>
          <t>Moyenne</t>
        </is>
      </c>
      <c r="D6" s="16" t="inlineStr">
        <is>
          <t>Élevé</t>
        </is>
      </c>
      <c r="E6" s="4" t="inlineStr">
        <is>
          <t>Personne 4</t>
        </is>
      </c>
      <c r="F6" s="5" t="inlineStr">
        <is>
          <t>Format JSON strict + validation humaine systématique</t>
        </is>
      </c>
      <c r="G6" s="10" t="inlineStr">
        <is>
          <t>Résolu</t>
        </is>
      </c>
    </row>
    <row r="7">
      <c r="A7" s="4" t="n">
        <v>4</v>
      </c>
      <c r="B7" s="5" t="inlineStr">
        <is>
          <t>Fuite de données sensibles vers l'API LLM</t>
        </is>
      </c>
      <c r="C7" s="4" t="inlineStr">
        <is>
          <t>Faible</t>
        </is>
      </c>
      <c r="D7" s="28" t="inlineStr">
        <is>
          <t>Critique</t>
        </is>
      </c>
      <c r="E7" s="4" t="inlineStr">
        <is>
          <t>Personne 3</t>
        </is>
      </c>
      <c r="F7" s="5" t="inlineStr">
        <is>
          <t>Anonymisation RGPD activable (IP, utilisateurs)</t>
        </is>
      </c>
      <c r="G7" s="10" t="inlineStr">
        <is>
          <t>Résolu</t>
        </is>
      </c>
    </row>
    <row r="8">
      <c r="A8" s="4" t="n">
        <v>5</v>
      </c>
      <c r="B8" s="5" t="inlineStr">
        <is>
          <t>Clé API exposée dans Git</t>
        </is>
      </c>
      <c r="C8" s="4" t="inlineStr">
        <is>
          <t>Faible</t>
        </is>
      </c>
      <c r="D8" s="28" t="inlineStr">
        <is>
          <t>Critique</t>
        </is>
      </c>
      <c r="E8" s="4" t="inlineStr">
        <is>
          <t>Lead</t>
        </is>
      </c>
      <c r="F8" s="5" t="inlineStr">
        <is>
          <t>.env exclu du Git via .gitignore</t>
        </is>
      </c>
      <c r="G8" s="10" t="inlineStr">
        <is>
          <t>Résolu</t>
        </is>
      </c>
    </row>
    <row r="9">
      <c r="A9" s="4" t="n">
        <v>6</v>
      </c>
      <c r="B9" s="5" t="inlineStr">
        <is>
          <t>Logs corrompus qui font planter le parser</t>
        </is>
      </c>
      <c r="C9" s="4" t="inlineStr">
        <is>
          <t>Élevée</t>
        </is>
      </c>
      <c r="D9" s="4" t="inlineStr">
        <is>
          <t>Faible</t>
        </is>
      </c>
      <c r="E9" s="4" t="inlineStr">
        <is>
          <t>Personne 2</t>
        </is>
      </c>
      <c r="F9" s="5" t="inlineStr">
        <is>
          <t>Try/except sur chaque ligne, jamais d'interruption</t>
        </is>
      </c>
      <c r="G9" s="10" t="inlineStr">
        <is>
          <t>Résolu</t>
        </is>
      </c>
    </row>
    <row r="10">
      <c r="A10" s="4" t="n">
        <v>7</v>
      </c>
      <c r="B10" s="5" t="inlineStr">
        <is>
          <t>Faux positifs dans la détection</t>
        </is>
      </c>
      <c r="C10" s="4" t="inlineStr">
        <is>
          <t>Moyenne</t>
        </is>
      </c>
      <c r="D10" s="27" t="inlineStr">
        <is>
          <t>Moyen</t>
        </is>
      </c>
      <c r="E10" s="4" t="inlineStr">
        <is>
          <t>Personne 2</t>
        </is>
      </c>
      <c r="F10" s="5" t="inlineStr">
        <is>
          <t>Seuils ajustables + croisement règles + LLM</t>
        </is>
      </c>
      <c r="G10" s="10" t="inlineStr">
        <is>
          <t>Résolu</t>
        </is>
      </c>
    </row>
    <row r="11">
      <c r="A11" s="4" t="n">
        <v>8</v>
      </c>
      <c r="B11" s="5" t="inlineStr">
        <is>
          <t>Retard de développement (sous-estimation)</t>
        </is>
      </c>
      <c r="C11" s="4" t="inlineStr">
        <is>
          <t>Moyenne</t>
        </is>
      </c>
      <c r="D11" s="16" t="inlineStr">
        <is>
          <t>Élevé</t>
        </is>
      </c>
      <c r="E11" s="4" t="inlineStr">
        <is>
          <t>Toute l'équipe</t>
        </is>
      </c>
      <c r="F11" s="5" t="inlineStr">
        <is>
          <t>Découpage en sprints, MVP prioritaire</t>
        </is>
      </c>
      <c r="G11" s="10" t="inlineStr">
        <is>
          <t>Résolu</t>
        </is>
      </c>
    </row>
    <row r="12">
      <c r="A12" s="4" t="n">
        <v>9</v>
      </c>
      <c r="B12" s="5" t="inlineStr">
        <is>
          <t>Manque de données réelles pour la démo</t>
        </is>
      </c>
      <c r="C12" s="4" t="inlineStr">
        <is>
          <t>Élevée</t>
        </is>
      </c>
      <c r="D12" s="27" t="inlineStr">
        <is>
          <t>Moyen</t>
        </is>
      </c>
      <c r="E12" s="4" t="inlineStr">
        <is>
          <t>Lead</t>
        </is>
      </c>
      <c r="F12" s="5" t="inlineStr">
        <is>
          <t>Intégration de logs réalistes dans data/logs/real/</t>
        </is>
      </c>
      <c r="G12" s="10" t="inlineStr">
        <is>
          <t>Résolu</t>
        </is>
      </c>
    </row>
    <row r="13">
      <c r="A13" s="4" t="n">
        <v>10</v>
      </c>
      <c r="B13" s="5" t="inlineStr">
        <is>
          <t>Difficulté de coordination équipe</t>
        </is>
      </c>
      <c r="C13" s="4" t="inlineStr">
        <is>
          <t>Moyenne</t>
        </is>
      </c>
      <c r="D13" s="27" t="inlineStr">
        <is>
          <t>Moyen</t>
        </is>
      </c>
      <c r="E13" s="4" t="inlineStr">
        <is>
          <t>Lead</t>
        </is>
      </c>
      <c r="F13" s="5" t="inlineStr">
        <is>
          <t>Réunions hebdo + Discord + GitHub Issues + ce document Excel partagé</t>
        </is>
      </c>
      <c r="G13" s="16" t="inlineStr">
        <is>
          <t>En cours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50" customWidth="1" min="4" max="4"/>
    <col width="10" customWidth="1" min="5" max="5"/>
  </cols>
  <sheetData>
    <row r="1" ht="30" customHeight="1">
      <c r="A1" s="2" t="inlineStr">
        <is>
          <t>Répartition des 21 fichiers Python par membre</t>
        </is>
      </c>
    </row>
    <row r="3">
      <c r="A3" s="3" t="inlineStr">
        <is>
          <t>N°</t>
        </is>
      </c>
      <c r="B3" s="3" t="inlineStr">
        <is>
          <t>Fichier</t>
        </is>
      </c>
      <c r="C3" s="3" t="inlineStr">
        <is>
          <t>Propriétaire</t>
        </is>
      </c>
      <c r="D3" s="3" t="inlineStr">
        <is>
          <t>Description</t>
        </is>
      </c>
      <c r="E3" s="3" t="inlineStr">
        <is>
          <t>Lignes</t>
        </is>
      </c>
    </row>
    <row r="4">
      <c r="A4" s="4" t="n">
        <v>1</v>
      </c>
      <c r="B4" s="4" t="inlineStr">
        <is>
          <t>app.py</t>
        </is>
      </c>
      <c r="C4" s="27" t="inlineStr">
        <is>
          <t>Lead (Latif)</t>
        </is>
      </c>
      <c r="D4" s="5" t="inlineStr">
        <is>
          <t>Menu interactif (15 options)</t>
        </is>
      </c>
      <c r="E4" s="4" t="inlineStr">
        <is>
          <t>~310</t>
        </is>
      </c>
    </row>
    <row r="5">
      <c r="A5" s="4" t="n">
        <v>2</v>
      </c>
      <c r="B5" s="4" t="inlineStr">
        <is>
          <t>main.py</t>
        </is>
      </c>
      <c r="C5" s="27" t="inlineStr">
        <is>
          <t>Lead (Latif)</t>
        </is>
      </c>
      <c r="D5" s="5" t="inlineStr">
        <is>
          <t>Interface en ligne de commande</t>
        </is>
      </c>
      <c r="E5" s="4" t="inlineStr">
        <is>
          <t>~220</t>
        </is>
      </c>
    </row>
    <row r="6">
      <c r="A6" s="4" t="n">
        <v>3</v>
      </c>
      <c r="B6" s="4" t="inlineStr">
        <is>
          <t>src/cli.py</t>
        </is>
      </c>
      <c r="C6" s="27" t="inlineStr">
        <is>
          <t>Lead (Latif)</t>
        </is>
      </c>
      <c r="D6" s="5" t="inlineStr">
        <is>
          <t>Affichage Rich (panels, tableaux)</t>
        </is>
      </c>
      <c r="E6" s="4" t="inlineStr">
        <is>
          <t>~120</t>
        </is>
      </c>
    </row>
    <row r="7">
      <c r="A7" s="4" t="n">
        <v>4</v>
      </c>
      <c r="B7" s="4" t="inlineStr">
        <is>
          <t>src/__init__.py</t>
        </is>
      </c>
      <c r="C7" s="27" t="inlineStr">
        <is>
          <t>Lead (Latif)</t>
        </is>
      </c>
      <c r="D7" s="5" t="inlineStr">
        <is>
          <t>Module Python</t>
        </is>
      </c>
      <c r="E7" s="4" t="inlineStr">
        <is>
          <t>~0</t>
        </is>
      </c>
    </row>
    <row r="8">
      <c r="A8" s="4" t="n">
        <v>5</v>
      </c>
      <c r="B8" s="4" t="inlineStr">
        <is>
          <t>tests/__init__.py</t>
        </is>
      </c>
      <c r="C8" s="27" t="inlineStr">
        <is>
          <t>Lead (Latif)</t>
        </is>
      </c>
      <c r="D8" s="5" t="inlineStr">
        <is>
          <t>Module de tests</t>
        </is>
      </c>
      <c r="E8" s="4" t="inlineStr">
        <is>
          <t>~0</t>
        </is>
      </c>
    </row>
    <row r="9">
      <c r="A9" s="4" t="n">
        <v>6</v>
      </c>
      <c r="B9" s="4" t="inlineStr">
        <is>
          <t>src/parser.py</t>
        </is>
      </c>
      <c r="C9" s="29" t="inlineStr">
        <is>
          <t>Personne 2</t>
        </is>
      </c>
      <c r="D9" s="5" t="inlineStr">
        <is>
          <t>Parsing 4 formats (SSH, Apache, firewall, Windows)</t>
        </is>
      </c>
      <c r="E9" s="4" t="inlineStr">
        <is>
          <t>~170</t>
        </is>
      </c>
    </row>
    <row r="10">
      <c r="A10" s="4" t="n">
        <v>7</v>
      </c>
      <c r="B10" s="4" t="inlineStr">
        <is>
          <t>src/detector.py</t>
        </is>
      </c>
      <c r="C10" s="29" t="inlineStr">
        <is>
          <t>Personne 2</t>
        </is>
      </c>
      <c r="D10" s="5" t="inlineStr">
        <is>
          <t>Détection des 6 types d'attaques</t>
        </is>
      </c>
      <c r="E10" s="4" t="inlineStr">
        <is>
          <t>~200</t>
        </is>
      </c>
    </row>
    <row r="11">
      <c r="A11" s="4" t="n">
        <v>8</v>
      </c>
      <c r="B11" s="4" t="inlineStr">
        <is>
          <t>src/enricher.py</t>
        </is>
      </c>
      <c r="C11" s="29" t="inlineStr">
        <is>
          <t>Personne 2</t>
        </is>
      </c>
      <c r="D11" s="5" t="inlineStr">
        <is>
          <t>Enrichissement IP (géoloc, réputation)</t>
        </is>
      </c>
      <c r="E11" s="4" t="inlineStr">
        <is>
          <t>~50</t>
        </is>
      </c>
    </row>
    <row r="12">
      <c r="A12" s="4" t="n">
        <v>9</v>
      </c>
      <c r="B12" s="4" t="inlineStr">
        <is>
          <t>tests/test_parser.py</t>
        </is>
      </c>
      <c r="C12" s="29" t="inlineStr">
        <is>
          <t>Personne 2</t>
        </is>
      </c>
      <c r="D12" s="5" t="inlineStr">
        <is>
          <t>22 tests parser</t>
        </is>
      </c>
      <c r="E12" s="4" t="inlineStr">
        <is>
          <t>~155</t>
        </is>
      </c>
    </row>
    <row r="13">
      <c r="A13" s="4" t="n">
        <v>10</v>
      </c>
      <c r="B13" s="4" t="inlineStr">
        <is>
          <t>tests/test_detector.py</t>
        </is>
      </c>
      <c r="C13" s="29" t="inlineStr">
        <is>
          <t>Personne 2</t>
        </is>
      </c>
      <c r="D13" s="5" t="inlineStr">
        <is>
          <t>16 tests détecteur</t>
        </is>
      </c>
      <c r="E13" s="4" t="inlineStr">
        <is>
          <t>~200</t>
        </is>
      </c>
    </row>
    <row r="14">
      <c r="A14" s="4" t="n">
        <v>11</v>
      </c>
      <c r="B14" s="4" t="inlineStr">
        <is>
          <t>tests/test_enricher.py</t>
        </is>
      </c>
      <c r="C14" s="29" t="inlineStr">
        <is>
          <t>Personne 2</t>
        </is>
      </c>
      <c r="D14" s="5" t="inlineStr">
        <is>
          <t>12 tests enrichissement</t>
        </is>
      </c>
      <c r="E14" s="4" t="inlineStr">
        <is>
          <t>~70</t>
        </is>
      </c>
    </row>
    <row r="15">
      <c r="A15" s="4" t="n">
        <v>12</v>
      </c>
      <c r="B15" s="4" t="inlineStr">
        <is>
          <t>src/storage.py</t>
        </is>
      </c>
      <c r="C15" s="10" t="inlineStr">
        <is>
          <t>Personne 3</t>
        </is>
      </c>
      <c r="D15" s="5" t="inlineStr">
        <is>
          <t>SQLite + chmod 600 + workflow analyste</t>
        </is>
      </c>
      <c r="E15" s="4" t="inlineStr">
        <is>
          <t>~100</t>
        </is>
      </c>
    </row>
    <row r="16">
      <c r="A16" s="4" t="n">
        <v>13</v>
      </c>
      <c r="B16" s="4" t="inlineStr">
        <is>
          <t>src/anonymizer.py</t>
        </is>
      </c>
      <c r="C16" s="10" t="inlineStr">
        <is>
          <t>Personne 3</t>
        </is>
      </c>
      <c r="D16" s="5" t="inlineStr">
        <is>
          <t>Anonymisation RGPD (IP, users)</t>
        </is>
      </c>
      <c r="E16" s="4" t="inlineStr">
        <is>
          <t>~70</t>
        </is>
      </c>
    </row>
    <row r="17">
      <c r="A17" s="4" t="n">
        <v>14</v>
      </c>
      <c r="B17" s="4" t="inlineStr">
        <is>
          <t>src/cache.py</t>
        </is>
      </c>
      <c r="C17" s="10" t="inlineStr">
        <is>
          <t>Personne 3</t>
        </is>
      </c>
      <c r="D17" s="5" t="inlineStr">
        <is>
          <t>Cache LLM (TTL 1h, buckets)</t>
        </is>
      </c>
      <c r="E17" s="4" t="inlineStr">
        <is>
          <t>~80</t>
        </is>
      </c>
    </row>
    <row r="18">
      <c r="A18" s="4" t="n">
        <v>15</v>
      </c>
      <c r="B18" s="4" t="inlineStr">
        <is>
          <t>tests/test_storage.py</t>
        </is>
      </c>
      <c r="C18" s="10" t="inlineStr">
        <is>
          <t>Personne 3</t>
        </is>
      </c>
      <c r="D18" s="5" t="inlineStr">
        <is>
          <t>15 tests stockage + injection SQL</t>
        </is>
      </c>
      <c r="E18" s="4" t="inlineStr">
        <is>
          <t>~120</t>
        </is>
      </c>
    </row>
    <row r="19">
      <c r="A19" s="4" t="n">
        <v>16</v>
      </c>
      <c r="B19" s="4" t="inlineStr">
        <is>
          <t>tests/test_anonymizer.py</t>
        </is>
      </c>
      <c r="C19" s="10" t="inlineStr">
        <is>
          <t>Personne 3</t>
        </is>
      </c>
      <c r="D19" s="5" t="inlineStr">
        <is>
          <t>11 tests anonymisation</t>
        </is>
      </c>
      <c r="E19" s="4" t="inlineStr">
        <is>
          <t>~70</t>
        </is>
      </c>
    </row>
    <row r="20">
      <c r="A20" s="4" t="n">
        <v>17</v>
      </c>
      <c r="B20" s="4" t="inlineStr">
        <is>
          <t>tests/test_cache.py</t>
        </is>
      </c>
      <c r="C20" s="10" t="inlineStr">
        <is>
          <t>Personne 3</t>
        </is>
      </c>
      <c r="D20" s="5" t="inlineStr">
        <is>
          <t>9 tests cache</t>
        </is>
      </c>
      <c r="E20" s="4" t="inlineStr">
        <is>
          <t>~70</t>
        </is>
      </c>
    </row>
    <row r="21">
      <c r="A21" s="4" t="n">
        <v>18</v>
      </c>
      <c r="B21" s="4" t="inlineStr">
        <is>
          <t>src/llm_client.py</t>
        </is>
      </c>
      <c r="C21" s="16" t="inlineStr">
        <is>
          <t>Personne 4</t>
        </is>
      </c>
      <c r="D21" s="5" t="inlineStr">
        <is>
          <t>API LLM + fallback + stats tokens</t>
        </is>
      </c>
      <c r="E21" s="4" t="inlineStr">
        <is>
          <t>~210</t>
        </is>
      </c>
    </row>
    <row r="22">
      <c r="A22" s="4" t="n">
        <v>19</v>
      </c>
      <c r="B22" s="4" t="inlineStr">
        <is>
          <t>src/prompts.py</t>
        </is>
      </c>
      <c r="C22" s="16" t="inlineStr">
        <is>
          <t>Personne 4</t>
        </is>
      </c>
      <c r="D22" s="5" t="inlineStr">
        <is>
          <t>Templates de prompts JSON strict</t>
        </is>
      </c>
      <c r="E22" s="4" t="inlineStr">
        <is>
          <t>~50</t>
        </is>
      </c>
    </row>
    <row r="23">
      <c r="A23" s="4" t="n">
        <v>20</v>
      </c>
      <c r="B23" s="4" t="inlineStr">
        <is>
          <t>src/compressor.py</t>
        </is>
      </c>
      <c r="C23" s="16" t="inlineStr">
        <is>
          <t>Personne 4</t>
        </is>
      </c>
      <c r="D23" s="5" t="inlineStr">
        <is>
          <t>Compression intelligente (94% éco)</t>
        </is>
      </c>
      <c r="E23" s="4" t="inlineStr">
        <is>
          <t>~75</t>
        </is>
      </c>
    </row>
    <row r="24">
      <c r="A24" s="4" t="n">
        <v>21</v>
      </c>
      <c r="B24" s="4" t="inlineStr">
        <is>
          <t>tests/test_compressor.py</t>
        </is>
      </c>
      <c r="C24" s="16" t="inlineStr">
        <is>
          <t>Personne 4</t>
        </is>
      </c>
      <c r="D24" s="5" t="inlineStr">
        <is>
          <t>8 tests compression</t>
        </is>
      </c>
      <c r="E24" s="4" t="inlineStr">
        <is>
          <t>~50</t>
        </is>
      </c>
    </row>
    <row r="27">
      <c r="A27" s="26" t="inlineStr">
        <is>
          <t>Récap par propriétaire :</t>
        </is>
      </c>
    </row>
    <row r="28">
      <c r="A28" t="inlineStr">
        <is>
          <t>Lead (Latif)</t>
        </is>
      </c>
      <c r="B28" t="inlineStr">
        <is>
          <t>5 fichiers (24%)</t>
        </is>
      </c>
    </row>
    <row r="29">
      <c r="A29" t="inlineStr">
        <is>
          <t>Personne 2</t>
        </is>
      </c>
      <c r="B29" t="inlineStr">
        <is>
          <t>6 fichiers (29%)</t>
        </is>
      </c>
    </row>
    <row r="30">
      <c r="A30" t="inlineStr">
        <is>
          <t>Personne 3</t>
        </is>
      </c>
      <c r="B30" t="inlineStr">
        <is>
          <t>6 fichiers (29%)</t>
        </is>
      </c>
    </row>
    <row r="31">
      <c r="A31" t="inlineStr">
        <is>
          <t>Personne 4</t>
        </is>
      </c>
      <c r="B31" t="inlineStr">
        <is>
          <t>4 fichiers (19%)</t>
        </is>
      </c>
    </row>
    <row r="32">
      <c r="A32" s="26" t="inlineStr">
        <is>
          <t>TOTAL</t>
        </is>
      </c>
      <c r="B32" s="26" t="inlineStr">
        <is>
          <t>21 fichiers (100%)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2026-06-04T01:59:31Z</dcterms:created>
  <dcterms:modified xmlns:dcterms="http://purl.org/dc/terms/" xmlns:xsi="http://www.w3.org/2001/XMLSchema-instance" xsi:type="dcterms:W3CDTF">2026-06-04T01:59:31Z</dcterms:modified>
</cp:coreProperties>
</file>